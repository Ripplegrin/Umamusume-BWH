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dv. Statistic Descriptions" sheetId="2" r:id="rId6"/>
  </sheets>
  <definedNames/>
  <calcPr/>
</workbook>
</file>

<file path=xl/sharedStrings.xml><?xml version="1.0" encoding="utf-8"?>
<sst xmlns="http://schemas.openxmlformats.org/spreadsheetml/2006/main" count="185" uniqueCount="181">
  <si>
    <t>Uma</t>
  </si>
  <si>
    <t>Bust</t>
  </si>
  <si>
    <t>Waist</t>
  </si>
  <si>
    <t>Hips</t>
  </si>
  <si>
    <t>Height</t>
  </si>
  <si>
    <t>Height diff</t>
  </si>
  <si>
    <t>Bust diff</t>
  </si>
  <si>
    <t>Waist diff</t>
  </si>
  <si>
    <t>Hips diff</t>
  </si>
  <si>
    <t>Shortstack Score</t>
  </si>
  <si>
    <t>Tallboard Score</t>
  </si>
  <si>
    <t>TBHS</t>
  </si>
  <si>
    <t>Hourglass Quotient</t>
  </si>
  <si>
    <t>Oatmeal%</t>
  </si>
  <si>
    <t>Donk Rating</t>
  </si>
  <si>
    <t>Todo Index</t>
  </si>
  <si>
    <t>Gold Ship</t>
  </si>
  <si>
    <t>Tap Dance City</t>
  </si>
  <si>
    <t>Taiki Shuttle</t>
  </si>
  <si>
    <t>Mejiro Ramonu</t>
  </si>
  <si>
    <t>Super Creek</t>
  </si>
  <si>
    <t>Symboli Kris S</t>
  </si>
  <si>
    <t>Blast Onepiece</t>
  </si>
  <si>
    <t>Copano Ricky</t>
  </si>
  <si>
    <t>Sirius Symboli</t>
  </si>
  <si>
    <t>Seeking the Pearl</t>
  </si>
  <si>
    <t>Hishi Akebono</t>
  </si>
  <si>
    <t>Kitasan Black</t>
  </si>
  <si>
    <t>Daring Heart</t>
  </si>
  <si>
    <t>Cesario</t>
  </si>
  <si>
    <t>Mihono Bourbon</t>
  </si>
  <si>
    <t>Forever Young</t>
  </si>
  <si>
    <t>Vivlos</t>
  </si>
  <si>
    <t>Biwa Hayahide</t>
  </si>
  <si>
    <t>Maruzensky</t>
  </si>
  <si>
    <t>Air Shakur</t>
  </si>
  <si>
    <t>Air Groove</t>
  </si>
  <si>
    <t>Hishi Amazon</t>
  </si>
  <si>
    <t>Meisho Doto</t>
  </si>
  <si>
    <t>Duramente</t>
  </si>
  <si>
    <t>Mejiro Ryan</t>
  </si>
  <si>
    <t>Kiseki</t>
  </si>
  <si>
    <t>Dantsu Flame</t>
  </si>
  <si>
    <t>Daitaku Helios</t>
  </si>
  <si>
    <t>Loves Only You</t>
  </si>
  <si>
    <t>Gran Alegria</t>
  </si>
  <si>
    <t>Marche Lorraine</t>
  </si>
  <si>
    <t>Durandal</t>
  </si>
  <si>
    <t>Hokko Tarumae</t>
  </si>
  <si>
    <t>Mejiro Ardan</t>
  </si>
  <si>
    <t>El Condor Pasa</t>
  </si>
  <si>
    <t>Ikuno Dictus</t>
  </si>
  <si>
    <t>Mejiro Palmer</t>
  </si>
  <si>
    <t>Rulership</t>
  </si>
  <si>
    <t>Narita Top Road</t>
  </si>
  <si>
    <t>Admire Groove</t>
  </si>
  <si>
    <t>No Reason</t>
  </si>
  <si>
    <t>Ines Fuujin</t>
  </si>
  <si>
    <t>Lucky Lilac</t>
  </si>
  <si>
    <t>Satono Diamond</t>
  </si>
  <si>
    <t>Transcend</t>
  </si>
  <si>
    <t>Bubble Gum Fellow</t>
  </si>
  <si>
    <t>Symboli Rudolf</t>
  </si>
  <si>
    <t>Shinko Windy</t>
  </si>
  <si>
    <t>Eishin Flash</t>
  </si>
  <si>
    <t>Tsurumaru Tsuyoshi</t>
  </si>
  <si>
    <t>Sounds of Earth</t>
  </si>
  <si>
    <t>Satono Crown</t>
  </si>
  <si>
    <t>Kawakami Princess</t>
  </si>
  <si>
    <t>Gentildonna</t>
  </si>
  <si>
    <t>Logotype</t>
  </si>
  <si>
    <t>Fusaichi Pandora</t>
  </si>
  <si>
    <t>Tazuna Hayakawa (lol)</t>
  </si>
  <si>
    <t>Oguri Cap</t>
  </si>
  <si>
    <t>Fenomeno</t>
  </si>
  <si>
    <t>Narita Brian</t>
  </si>
  <si>
    <t>Fuji Kiseki</t>
  </si>
  <si>
    <t>Grass Wonder</t>
  </si>
  <si>
    <t>Winning Ticket</t>
  </si>
  <si>
    <t>Daiwa Scarlet</t>
  </si>
  <si>
    <t>Sakura Bakushin O</t>
  </si>
  <si>
    <t>Mr. C.B.</t>
  </si>
  <si>
    <t>Tosen Jordan</t>
  </si>
  <si>
    <t>Rhein Kraft</t>
  </si>
  <si>
    <t>Epiphaneia</t>
  </si>
  <si>
    <t>Orfevre</t>
  </si>
  <si>
    <t>Sakura Chiyono O</t>
  </si>
  <si>
    <t>Fine Motion</t>
  </si>
  <si>
    <t>North Flight</t>
  </si>
  <si>
    <t>Sakura Laurel</t>
  </si>
  <si>
    <t>Yaeno Muteki</t>
  </si>
  <si>
    <t>Daring Tact</t>
  </si>
  <si>
    <t>Hishi Miracle</t>
  </si>
  <si>
    <t>Air Messiah</t>
  </si>
  <si>
    <t>Silence Suzuka</t>
  </si>
  <si>
    <t>Royce and Royce</t>
  </si>
  <si>
    <t>King Halo</t>
  </si>
  <si>
    <t>Agnes Tachyon</t>
  </si>
  <si>
    <t>Almond Eye</t>
  </si>
  <si>
    <t>Tanino Gimlet</t>
  </si>
  <si>
    <t>Light Hello</t>
  </si>
  <si>
    <t>Vodka</t>
  </si>
  <si>
    <t>Furioso</t>
  </si>
  <si>
    <t>Victoire Pisa</t>
  </si>
  <si>
    <t>Wonder Acute</t>
  </si>
  <si>
    <t>Buena Vista</t>
  </si>
  <si>
    <t>Katsuragi Ace</t>
  </si>
  <si>
    <t>Calstone Light O</t>
  </si>
  <si>
    <t>Win Variation</t>
  </si>
  <si>
    <t>Special Week</t>
  </si>
  <si>
    <t>Nakayama Festa</t>
  </si>
  <si>
    <t>Admire Vega</t>
  </si>
  <si>
    <t>Neo Universe</t>
  </si>
  <si>
    <t>Matikanefukukitaru</t>
  </si>
  <si>
    <t>Red Desire</t>
  </si>
  <si>
    <t>Gold City</t>
  </si>
  <si>
    <t>Verxina</t>
  </si>
  <si>
    <t>KS Miracle</t>
  </si>
  <si>
    <t>Jungle Pocket</t>
  </si>
  <si>
    <t>Smart Falcon</t>
  </si>
  <si>
    <t>TM Opera O</t>
  </si>
  <si>
    <t>Yukino Bijin</t>
  </si>
  <si>
    <t>Bamboo Memory</t>
  </si>
  <si>
    <t>Mejiro Dober</t>
  </si>
  <si>
    <t>Matikanetannhauser</t>
  </si>
  <si>
    <t>Nice Nature</t>
  </si>
  <si>
    <t>Seiun Sky</t>
  </si>
  <si>
    <t>Cheval Grand</t>
  </si>
  <si>
    <t>Curren Chan</t>
  </si>
  <si>
    <t>Still in Love</t>
  </si>
  <si>
    <t>Yamanin Zephyr</t>
  </si>
  <si>
    <t>Aston Machan</t>
  </si>
  <si>
    <t>Manhattan Cafe</t>
  </si>
  <si>
    <t>Mejiro Bright</t>
  </si>
  <si>
    <t>Mejiro McQueen</t>
  </si>
  <si>
    <t>Espoir City</t>
  </si>
  <si>
    <t>Believe</t>
  </si>
  <si>
    <t>Curren Bouquetd'or</t>
  </si>
  <si>
    <t>Marvelous Sunday</t>
  </si>
  <si>
    <t>Rice Shower</t>
  </si>
  <si>
    <t>Belno Light</t>
  </si>
  <si>
    <t>Tokai Teio</t>
  </si>
  <si>
    <t>Twin turbo</t>
  </si>
  <si>
    <t>Agnes Digital</t>
  </si>
  <si>
    <t>Narita Taishin</t>
  </si>
  <si>
    <t>Chrono Genesis</t>
  </si>
  <si>
    <t>Daichi Ruby</t>
  </si>
  <si>
    <t>Biko Pegasus</t>
  </si>
  <si>
    <t>Mayano Top Gun</t>
  </si>
  <si>
    <t>Zenno Rob Roy</t>
  </si>
  <si>
    <t>Inari One</t>
  </si>
  <si>
    <t>Samson Big</t>
  </si>
  <si>
    <t>Dream Journey</t>
  </si>
  <si>
    <t>Haru Urara</t>
  </si>
  <si>
    <t>Tamamo Cross</t>
  </si>
  <si>
    <t>Sweep Tosho</t>
  </si>
  <si>
    <t>Stay Gold</t>
  </si>
  <si>
    <t>Nishino Flower</t>
  </si>
  <si>
    <t>Statistic</t>
  </si>
  <si>
    <t>Description</t>
  </si>
  <si>
    <t>Formula (google sheets notation)</t>
  </si>
  <si>
    <t>[Statistic] Diff</t>
  </si>
  <si>
    <t>Difference from cast average (JP server as of April 2026): Height 159cm | Bust 83cm | Waist 55cm | Hips 82cm</t>
  </si>
  <si>
    <t>[stat]-avg</t>
  </si>
  <si>
    <t>If a given uma is shorter and bustier than the cast median, combines the distance from those medians.</t>
  </si>
  <si>
    <t>if(and(heightDiff&lt;0,bustDiff&gt;0),1,-1) * (abs(heightDiff)+abs(bustDiff))</t>
  </si>
  <si>
    <t>If a given uma is taller and flatter than the cast median, combines the distance from those medians.</t>
  </si>
  <si>
    <t>if(and(heightDiff&gt;0,bustDiff&lt;0),1,-1) * (abs(heightDiff)+abs(bustDiff))</t>
  </si>
  <si>
    <t>TBHS (Top/Bottom-Heaviness Scale)</t>
  </si>
  <si>
    <t>Compares raw bust and hip measurements proportionally. 0 is balanced, positive number indicates top-heaviness, negative indicates bottom-heaviness. The farther from 0, the greater the degree.</t>
  </si>
  <si>
    <t>((bust/hips)-1)*100</t>
  </si>
  <si>
    <t>Averages bust and hip measurements and compares with waist. A higher number indicates a curvier overall shape, with a completely vertical torso scoring a 0.</t>
  </si>
  <si>
    <t>(((bust+hips)/2)/waist)-1</t>
  </si>
  <si>
    <t>aDR (adjusted Donk Rating)</t>
  </si>
  <si>
    <t>Expresses the difference between waist and hip circumference, with slight additional weighting of raw hip measurement.</t>
  </si>
  <si>
    <t>(hips-waist)*(hips/20)</t>
  </si>
  <si>
    <t>Measures lower-body thickness by comparing combined waist and hip measurements to height.</t>
  </si>
  <si>
    <t>((waist+hips)/height)^3</t>
  </si>
  <si>
    <t>T-Index (Todo Index)</t>
  </si>
  <si>
    <t>Examines applicability of the desciptors “tall” and “with a big ass”. A higher value indicates a greater degree of applicability of both, with a negative score indicating that one or both do not apply.</t>
  </si>
  <si>
    <t>(((height-medianHeight)*2)+aDR)-100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</si>
</sst>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444444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 readingOrder="0"/>
    </xf>
    <xf borderId="0" fillId="2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10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 vertical="center"/>
    </xf>
    <xf borderId="0" fillId="3" fontId="3" numFmtId="0" xfId="0" applyAlignment="1" applyFont="1">
      <alignment readingOrder="0" shrinkToFit="0" vertical="top" wrapText="1"/>
    </xf>
    <xf borderId="0" fillId="3" fontId="3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vertical="center"/>
    </xf>
    <xf borderId="0" fillId="4" fontId="1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2" width="7.88"/>
    <col customWidth="1" min="3" max="3" width="6.13"/>
    <col customWidth="1" min="4" max="4" width="6.5"/>
    <col customWidth="1" min="5" max="5" width="10.13"/>
    <col customWidth="1" min="6" max="6" width="9.0"/>
    <col customWidth="1" min="7" max="7" width="7.63"/>
    <col customWidth="1" min="8" max="8" width="7.75"/>
    <col customWidth="1" min="9" max="9" width="7.38"/>
    <col customWidth="1" min="10" max="10" width="13.5"/>
    <col customWidth="1" min="12" max="12" width="5.63"/>
    <col customWidth="1" min="13" max="13" width="15.5"/>
    <col customWidth="1" min="14" max="14" width="9.38"/>
    <col customWidth="1" min="15" max="15" width="10.63"/>
    <col customWidth="1" min="16" max="1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6" t="s">
        <v>15</v>
      </c>
    </row>
    <row r="2">
      <c r="A2" s="1" t="s">
        <v>16</v>
      </c>
      <c r="B2" s="7">
        <v>88.0</v>
      </c>
      <c r="C2" s="7">
        <v>55.0</v>
      </c>
      <c r="D2" s="7">
        <v>88.0</v>
      </c>
      <c r="E2" s="2">
        <v>170.0</v>
      </c>
      <c r="F2" s="8">
        <f t="shared" ref="F2:F143" si="1">E2-159</f>
        <v>11</v>
      </c>
      <c r="G2" s="8">
        <f t="shared" ref="G2:G143" si="2">B2-83</f>
        <v>5</v>
      </c>
      <c r="H2" s="9">
        <f t="shared" ref="H2:H143" si="3">C2-55</f>
        <v>0</v>
      </c>
      <c r="I2" s="9">
        <f t="shared" ref="I2:I143" si="4">D2-82</f>
        <v>6</v>
      </c>
      <c r="J2" s="9">
        <f t="shared" ref="J2:J143" si="5">if(and(F2&lt;0,G2&gt;0),1,-1)*(abs(F2)+abs(G2))</f>
        <v>-16</v>
      </c>
      <c r="K2" s="9">
        <f t="shared" ref="K2:K143" si="6">if(and(F2&gt;0,G2&lt;0),1,-1)*(abs(F2)+abs(G2))</f>
        <v>-16</v>
      </c>
      <c r="L2" s="10">
        <f t="shared" ref="L2:L143" si="7">((B2/D2)-1)*100</f>
        <v>0</v>
      </c>
      <c r="M2" s="11">
        <f t="shared" ref="M2:M143" si="8">(((B2+D2)/2)/C2)-1</f>
        <v>0.6</v>
      </c>
      <c r="N2" s="12">
        <f t="shared" ref="N2:N143" si="9">((C2+D2)/E2)^3</f>
        <v>0.5951978425</v>
      </c>
      <c r="O2" s="13">
        <f t="shared" ref="O2:O143" si="10">(D2-C2)*(D2/20)</f>
        <v>145.2</v>
      </c>
      <c r="P2" s="14">
        <f t="shared" ref="P2:P143" si="11">(((E2-159)*2)+O2)-100</f>
        <v>67.2</v>
      </c>
    </row>
    <row r="3">
      <c r="A3" s="1" t="s">
        <v>17</v>
      </c>
      <c r="B3" s="7">
        <v>89.0</v>
      </c>
      <c r="C3" s="7">
        <v>55.0</v>
      </c>
      <c r="D3" s="7">
        <v>88.0</v>
      </c>
      <c r="E3" s="2">
        <v>170.0</v>
      </c>
      <c r="F3" s="8">
        <f t="shared" si="1"/>
        <v>11</v>
      </c>
      <c r="G3" s="8">
        <f t="shared" si="2"/>
        <v>6</v>
      </c>
      <c r="H3" s="9">
        <f t="shared" si="3"/>
        <v>0</v>
      </c>
      <c r="I3" s="9">
        <f t="shared" si="4"/>
        <v>6</v>
      </c>
      <c r="J3" s="9">
        <f t="shared" si="5"/>
        <v>-17</v>
      </c>
      <c r="K3" s="9">
        <f t="shared" si="6"/>
        <v>-17</v>
      </c>
      <c r="L3" s="10">
        <f t="shared" si="7"/>
        <v>1.136363636</v>
      </c>
      <c r="M3" s="11">
        <f t="shared" si="8"/>
        <v>0.6090909091</v>
      </c>
      <c r="N3" s="12">
        <f t="shared" si="9"/>
        <v>0.5951978425</v>
      </c>
      <c r="O3" s="13">
        <f t="shared" si="10"/>
        <v>145.2</v>
      </c>
      <c r="P3" s="14">
        <f t="shared" si="11"/>
        <v>67.2</v>
      </c>
    </row>
    <row r="4">
      <c r="A4" s="1" t="s">
        <v>18</v>
      </c>
      <c r="B4" s="7">
        <v>94.0</v>
      </c>
      <c r="C4" s="7">
        <v>59.0</v>
      </c>
      <c r="D4" s="7">
        <v>90.0</v>
      </c>
      <c r="E4" s="2">
        <v>172.0</v>
      </c>
      <c r="F4" s="8">
        <f t="shared" si="1"/>
        <v>13</v>
      </c>
      <c r="G4" s="8">
        <f t="shared" si="2"/>
        <v>11</v>
      </c>
      <c r="H4" s="9">
        <f t="shared" si="3"/>
        <v>4</v>
      </c>
      <c r="I4" s="9">
        <f t="shared" si="4"/>
        <v>8</v>
      </c>
      <c r="J4" s="9">
        <f t="shared" si="5"/>
        <v>-24</v>
      </c>
      <c r="K4" s="9">
        <f t="shared" si="6"/>
        <v>-24</v>
      </c>
      <c r="L4" s="10">
        <f t="shared" si="7"/>
        <v>4.444444444</v>
      </c>
      <c r="M4" s="11">
        <f t="shared" si="8"/>
        <v>0.5593220339</v>
      </c>
      <c r="N4" s="12">
        <f t="shared" si="9"/>
        <v>0.6500899685</v>
      </c>
      <c r="O4" s="13">
        <f t="shared" si="10"/>
        <v>139.5</v>
      </c>
      <c r="P4" s="14">
        <f t="shared" si="11"/>
        <v>65.5</v>
      </c>
    </row>
    <row r="5">
      <c r="A5" s="1" t="s">
        <v>19</v>
      </c>
      <c r="B5" s="7">
        <v>87.0</v>
      </c>
      <c r="C5" s="7">
        <v>57.0</v>
      </c>
      <c r="D5" s="7">
        <v>90.0</v>
      </c>
      <c r="E5" s="2">
        <v>165.0</v>
      </c>
      <c r="F5" s="8">
        <f t="shared" si="1"/>
        <v>6</v>
      </c>
      <c r="G5" s="8">
        <f t="shared" si="2"/>
        <v>4</v>
      </c>
      <c r="H5" s="9">
        <f t="shared" si="3"/>
        <v>2</v>
      </c>
      <c r="I5" s="9">
        <f t="shared" si="4"/>
        <v>8</v>
      </c>
      <c r="J5" s="9">
        <f t="shared" si="5"/>
        <v>-10</v>
      </c>
      <c r="K5" s="9">
        <f t="shared" si="6"/>
        <v>-10</v>
      </c>
      <c r="L5" s="10">
        <f t="shared" si="7"/>
        <v>-3.333333333</v>
      </c>
      <c r="M5" s="11">
        <f t="shared" si="8"/>
        <v>0.5526315789</v>
      </c>
      <c r="N5" s="12">
        <f t="shared" si="9"/>
        <v>0.7071314801</v>
      </c>
      <c r="O5" s="13">
        <f t="shared" si="10"/>
        <v>148.5</v>
      </c>
      <c r="P5" s="14">
        <f t="shared" si="11"/>
        <v>60.5</v>
      </c>
    </row>
    <row r="6">
      <c r="A6" s="1" t="s">
        <v>20</v>
      </c>
      <c r="B6" s="7">
        <v>97.0</v>
      </c>
      <c r="C6" s="7">
        <v>61.0</v>
      </c>
      <c r="D6" s="7">
        <v>91.0</v>
      </c>
      <c r="E6" s="2">
        <v>168.0</v>
      </c>
      <c r="F6" s="8">
        <f t="shared" si="1"/>
        <v>9</v>
      </c>
      <c r="G6" s="8">
        <f t="shared" si="2"/>
        <v>14</v>
      </c>
      <c r="H6" s="9">
        <f t="shared" si="3"/>
        <v>6</v>
      </c>
      <c r="I6" s="9">
        <f t="shared" si="4"/>
        <v>9</v>
      </c>
      <c r="J6" s="9">
        <f t="shared" si="5"/>
        <v>-23</v>
      </c>
      <c r="K6" s="9">
        <f t="shared" si="6"/>
        <v>-23</v>
      </c>
      <c r="L6" s="10">
        <f t="shared" si="7"/>
        <v>6.593406593</v>
      </c>
      <c r="M6" s="11">
        <f t="shared" si="8"/>
        <v>0.5409836066</v>
      </c>
      <c r="N6" s="12">
        <f t="shared" si="9"/>
        <v>0.740632761</v>
      </c>
      <c r="O6" s="13">
        <f t="shared" si="10"/>
        <v>136.5</v>
      </c>
      <c r="P6" s="14">
        <f t="shared" si="11"/>
        <v>54.5</v>
      </c>
    </row>
    <row r="7">
      <c r="A7" s="1" t="s">
        <v>21</v>
      </c>
      <c r="B7" s="7">
        <v>91.0</v>
      </c>
      <c r="C7" s="7">
        <v>58.0</v>
      </c>
      <c r="D7" s="7">
        <v>88.0</v>
      </c>
      <c r="E7" s="2">
        <v>170.0</v>
      </c>
      <c r="F7" s="8">
        <f t="shared" si="1"/>
        <v>11</v>
      </c>
      <c r="G7" s="8">
        <f t="shared" si="2"/>
        <v>8</v>
      </c>
      <c r="H7" s="9">
        <f t="shared" si="3"/>
        <v>3</v>
      </c>
      <c r="I7" s="9">
        <f t="shared" si="4"/>
        <v>6</v>
      </c>
      <c r="J7" s="9">
        <f t="shared" si="5"/>
        <v>-19</v>
      </c>
      <c r="K7" s="9">
        <f t="shared" si="6"/>
        <v>-19</v>
      </c>
      <c r="L7" s="10">
        <f t="shared" si="7"/>
        <v>3.409090909</v>
      </c>
      <c r="M7" s="11">
        <f t="shared" si="8"/>
        <v>0.5431034483</v>
      </c>
      <c r="N7" s="12">
        <f t="shared" si="9"/>
        <v>0.6334492164</v>
      </c>
      <c r="O7" s="13">
        <f t="shared" si="10"/>
        <v>132</v>
      </c>
      <c r="P7" s="14">
        <f t="shared" si="11"/>
        <v>54</v>
      </c>
    </row>
    <row r="8">
      <c r="A8" s="1" t="s">
        <v>22</v>
      </c>
      <c r="B8" s="7">
        <v>93.0</v>
      </c>
      <c r="C8" s="7">
        <v>63.0</v>
      </c>
      <c r="D8" s="7">
        <v>90.0</v>
      </c>
      <c r="E8" s="2">
        <v>174.0</v>
      </c>
      <c r="F8" s="8">
        <f t="shared" si="1"/>
        <v>15</v>
      </c>
      <c r="G8" s="8">
        <f t="shared" si="2"/>
        <v>10</v>
      </c>
      <c r="H8" s="9">
        <f t="shared" si="3"/>
        <v>8</v>
      </c>
      <c r="I8" s="9">
        <f t="shared" si="4"/>
        <v>8</v>
      </c>
      <c r="J8" s="9">
        <f t="shared" si="5"/>
        <v>-25</v>
      </c>
      <c r="K8" s="9">
        <f t="shared" si="6"/>
        <v>-25</v>
      </c>
      <c r="L8" s="10">
        <f t="shared" si="7"/>
        <v>3.333333333</v>
      </c>
      <c r="M8" s="11">
        <f t="shared" si="8"/>
        <v>0.4523809524</v>
      </c>
      <c r="N8" s="12">
        <f t="shared" si="9"/>
        <v>0.6798710484</v>
      </c>
      <c r="O8" s="13">
        <f t="shared" si="10"/>
        <v>121.5</v>
      </c>
      <c r="P8" s="14">
        <f t="shared" si="11"/>
        <v>51.5</v>
      </c>
    </row>
    <row r="9">
      <c r="A9" s="1" t="s">
        <v>23</v>
      </c>
      <c r="B9" s="7">
        <v>83.0</v>
      </c>
      <c r="C9" s="7">
        <v>55.0</v>
      </c>
      <c r="D9" s="7">
        <v>87.0</v>
      </c>
      <c r="E9" s="2">
        <v>165.0</v>
      </c>
      <c r="F9" s="8">
        <f t="shared" si="1"/>
        <v>6</v>
      </c>
      <c r="G9" s="8">
        <f t="shared" si="2"/>
        <v>0</v>
      </c>
      <c r="H9" s="9">
        <f t="shared" si="3"/>
        <v>0</v>
      </c>
      <c r="I9" s="9">
        <f t="shared" si="4"/>
        <v>5</v>
      </c>
      <c r="J9" s="9">
        <f t="shared" si="5"/>
        <v>-6</v>
      </c>
      <c r="K9" s="9">
        <f t="shared" si="6"/>
        <v>-6</v>
      </c>
      <c r="L9" s="10">
        <f t="shared" si="7"/>
        <v>-4.597701149</v>
      </c>
      <c r="M9" s="11">
        <f t="shared" si="8"/>
        <v>0.5454545455</v>
      </c>
      <c r="N9" s="12">
        <f t="shared" si="9"/>
        <v>0.6374016752</v>
      </c>
      <c r="O9" s="13">
        <f t="shared" si="10"/>
        <v>139.2</v>
      </c>
      <c r="P9" s="14">
        <f t="shared" si="11"/>
        <v>51.2</v>
      </c>
    </row>
    <row r="10">
      <c r="A10" s="1" t="s">
        <v>24</v>
      </c>
      <c r="B10" s="7">
        <v>89.0</v>
      </c>
      <c r="C10" s="7">
        <v>55.0</v>
      </c>
      <c r="D10" s="7">
        <v>86.0</v>
      </c>
      <c r="E10" s="2">
        <v>167.0</v>
      </c>
      <c r="F10" s="8">
        <f t="shared" si="1"/>
        <v>8</v>
      </c>
      <c r="G10" s="8">
        <f t="shared" si="2"/>
        <v>6</v>
      </c>
      <c r="H10" s="9">
        <f t="shared" si="3"/>
        <v>0</v>
      </c>
      <c r="I10" s="9">
        <f t="shared" si="4"/>
        <v>4</v>
      </c>
      <c r="J10" s="9">
        <f t="shared" si="5"/>
        <v>-14</v>
      </c>
      <c r="K10" s="9">
        <f t="shared" si="6"/>
        <v>-14</v>
      </c>
      <c r="L10" s="10">
        <f t="shared" si="7"/>
        <v>3.488372093</v>
      </c>
      <c r="M10" s="11">
        <f t="shared" si="8"/>
        <v>0.5909090909</v>
      </c>
      <c r="N10" s="12">
        <f t="shared" si="9"/>
        <v>0.6018772452</v>
      </c>
      <c r="O10" s="13">
        <f t="shared" si="10"/>
        <v>133.3</v>
      </c>
      <c r="P10" s="14">
        <f t="shared" si="11"/>
        <v>49.3</v>
      </c>
    </row>
    <row r="11">
      <c r="A11" s="1" t="s">
        <v>25</v>
      </c>
      <c r="B11" s="7">
        <v>91.0</v>
      </c>
      <c r="C11" s="7">
        <v>57.0</v>
      </c>
      <c r="D11" s="7">
        <v>87.0</v>
      </c>
      <c r="E11" s="2">
        <v>168.0</v>
      </c>
      <c r="F11" s="8">
        <f t="shared" si="1"/>
        <v>9</v>
      </c>
      <c r="G11" s="8">
        <f t="shared" si="2"/>
        <v>8</v>
      </c>
      <c r="H11" s="9">
        <f t="shared" si="3"/>
        <v>2</v>
      </c>
      <c r="I11" s="9">
        <f t="shared" si="4"/>
        <v>5</v>
      </c>
      <c r="J11" s="9">
        <f t="shared" si="5"/>
        <v>-17</v>
      </c>
      <c r="K11" s="9">
        <f t="shared" si="6"/>
        <v>-17</v>
      </c>
      <c r="L11" s="10">
        <f t="shared" si="7"/>
        <v>4.597701149</v>
      </c>
      <c r="M11" s="11">
        <f t="shared" si="8"/>
        <v>0.5614035088</v>
      </c>
      <c r="N11" s="12">
        <f t="shared" si="9"/>
        <v>0.6297376093</v>
      </c>
      <c r="O11" s="13">
        <f t="shared" si="10"/>
        <v>130.5</v>
      </c>
      <c r="P11" s="14">
        <f t="shared" si="11"/>
        <v>48.5</v>
      </c>
    </row>
    <row r="12">
      <c r="A12" s="1" t="s">
        <v>26</v>
      </c>
      <c r="B12" s="7">
        <v>99.0</v>
      </c>
      <c r="C12" s="7">
        <v>64.0</v>
      </c>
      <c r="D12" s="7">
        <v>88.0</v>
      </c>
      <c r="E12" s="2">
        <v>180.0</v>
      </c>
      <c r="F12" s="8">
        <f t="shared" si="1"/>
        <v>21</v>
      </c>
      <c r="G12" s="8">
        <f t="shared" si="2"/>
        <v>16</v>
      </c>
      <c r="H12" s="9">
        <f t="shared" si="3"/>
        <v>9</v>
      </c>
      <c r="I12" s="9">
        <f t="shared" si="4"/>
        <v>6</v>
      </c>
      <c r="J12" s="9">
        <f t="shared" si="5"/>
        <v>-37</v>
      </c>
      <c r="K12" s="9">
        <f t="shared" si="6"/>
        <v>-37</v>
      </c>
      <c r="L12" s="10">
        <f t="shared" si="7"/>
        <v>12.5</v>
      </c>
      <c r="M12" s="11">
        <f t="shared" si="8"/>
        <v>0.4609375</v>
      </c>
      <c r="N12" s="12">
        <f t="shared" si="9"/>
        <v>0.6021618656</v>
      </c>
      <c r="O12" s="13">
        <f t="shared" si="10"/>
        <v>105.6</v>
      </c>
      <c r="P12" s="14">
        <f t="shared" si="11"/>
        <v>47.6</v>
      </c>
    </row>
    <row r="13">
      <c r="A13" s="1" t="s">
        <v>27</v>
      </c>
      <c r="B13" s="7">
        <v>85.0</v>
      </c>
      <c r="C13" s="7">
        <v>56.0</v>
      </c>
      <c r="D13" s="7">
        <v>88.0</v>
      </c>
      <c r="E13" s="2">
        <v>162.0</v>
      </c>
      <c r="F13" s="8">
        <f t="shared" si="1"/>
        <v>3</v>
      </c>
      <c r="G13" s="8">
        <f t="shared" si="2"/>
        <v>2</v>
      </c>
      <c r="H13" s="9">
        <f t="shared" si="3"/>
        <v>1</v>
      </c>
      <c r="I13" s="9">
        <f t="shared" si="4"/>
        <v>6</v>
      </c>
      <c r="J13" s="9">
        <f t="shared" si="5"/>
        <v>-5</v>
      </c>
      <c r="K13" s="9">
        <f t="shared" si="6"/>
        <v>-5</v>
      </c>
      <c r="L13" s="10">
        <f t="shared" si="7"/>
        <v>-3.409090909</v>
      </c>
      <c r="M13" s="11">
        <f t="shared" si="8"/>
        <v>0.5446428571</v>
      </c>
      <c r="N13" s="12">
        <f t="shared" si="9"/>
        <v>0.7023319616</v>
      </c>
      <c r="O13" s="13">
        <f t="shared" si="10"/>
        <v>140.8</v>
      </c>
      <c r="P13" s="14">
        <f t="shared" si="11"/>
        <v>46.8</v>
      </c>
    </row>
    <row r="14">
      <c r="A14" s="1" t="s">
        <v>28</v>
      </c>
      <c r="B14" s="7">
        <v>82.0</v>
      </c>
      <c r="C14" s="7">
        <v>52.0</v>
      </c>
      <c r="D14" s="7">
        <v>84.0</v>
      </c>
      <c r="E14" s="2">
        <v>165.0</v>
      </c>
      <c r="F14" s="8">
        <f t="shared" si="1"/>
        <v>6</v>
      </c>
      <c r="G14" s="8">
        <f t="shared" si="2"/>
        <v>-1</v>
      </c>
      <c r="H14" s="9">
        <f t="shared" si="3"/>
        <v>-3</v>
      </c>
      <c r="I14" s="9">
        <f t="shared" si="4"/>
        <v>2</v>
      </c>
      <c r="J14" s="9">
        <f t="shared" si="5"/>
        <v>-7</v>
      </c>
      <c r="K14" s="9">
        <f t="shared" si="6"/>
        <v>7</v>
      </c>
      <c r="L14" s="10">
        <f t="shared" si="7"/>
        <v>-2.380952381</v>
      </c>
      <c r="M14" s="11">
        <f t="shared" si="8"/>
        <v>0.5961538462</v>
      </c>
      <c r="N14" s="12">
        <f t="shared" si="9"/>
        <v>0.55997017</v>
      </c>
      <c r="O14" s="13">
        <f t="shared" si="10"/>
        <v>134.4</v>
      </c>
      <c r="P14" s="14">
        <f t="shared" si="11"/>
        <v>46.4</v>
      </c>
    </row>
    <row r="15">
      <c r="A15" s="1" t="s">
        <v>29</v>
      </c>
      <c r="B15" s="7">
        <v>80.0</v>
      </c>
      <c r="C15" s="7">
        <v>53.0</v>
      </c>
      <c r="D15" s="7">
        <v>84.0</v>
      </c>
      <c r="E15" s="2">
        <v>167.0</v>
      </c>
      <c r="F15" s="8">
        <f t="shared" si="1"/>
        <v>8</v>
      </c>
      <c r="G15" s="8">
        <f t="shared" si="2"/>
        <v>-3</v>
      </c>
      <c r="H15" s="9">
        <f t="shared" si="3"/>
        <v>-2</v>
      </c>
      <c r="I15" s="9">
        <f t="shared" si="4"/>
        <v>2</v>
      </c>
      <c r="J15" s="9">
        <f t="shared" si="5"/>
        <v>-11</v>
      </c>
      <c r="K15" s="9">
        <f t="shared" si="6"/>
        <v>11</v>
      </c>
      <c r="L15" s="10">
        <f t="shared" si="7"/>
        <v>-4.761904762</v>
      </c>
      <c r="M15" s="11">
        <f t="shared" si="8"/>
        <v>0.5471698113</v>
      </c>
      <c r="N15" s="12">
        <f t="shared" si="9"/>
        <v>0.5520930601</v>
      </c>
      <c r="O15" s="13">
        <f t="shared" si="10"/>
        <v>130.2</v>
      </c>
      <c r="P15" s="14">
        <f t="shared" si="11"/>
        <v>46.2</v>
      </c>
    </row>
    <row r="16">
      <c r="A16" s="1" t="s">
        <v>30</v>
      </c>
      <c r="B16" s="7">
        <v>86.0</v>
      </c>
      <c r="C16" s="7">
        <v>54.0</v>
      </c>
      <c r="D16" s="7">
        <v>87.0</v>
      </c>
      <c r="E16" s="2">
        <v>160.0</v>
      </c>
      <c r="F16" s="8">
        <f t="shared" si="1"/>
        <v>1</v>
      </c>
      <c r="G16" s="8">
        <f t="shared" si="2"/>
        <v>3</v>
      </c>
      <c r="H16" s="9">
        <f t="shared" si="3"/>
        <v>-1</v>
      </c>
      <c r="I16" s="9">
        <f t="shared" si="4"/>
        <v>5</v>
      </c>
      <c r="J16" s="9">
        <f t="shared" si="5"/>
        <v>-4</v>
      </c>
      <c r="K16" s="9">
        <f t="shared" si="6"/>
        <v>-4</v>
      </c>
      <c r="L16" s="10">
        <f t="shared" si="7"/>
        <v>-1.149425287</v>
      </c>
      <c r="M16" s="11">
        <f t="shared" si="8"/>
        <v>0.6018518519</v>
      </c>
      <c r="N16" s="12">
        <f t="shared" si="9"/>
        <v>0.684380127</v>
      </c>
      <c r="O16" s="13">
        <f t="shared" si="10"/>
        <v>143.55</v>
      </c>
      <c r="P16" s="14">
        <f t="shared" si="11"/>
        <v>45.55</v>
      </c>
    </row>
    <row r="17">
      <c r="A17" s="1" t="s">
        <v>31</v>
      </c>
      <c r="B17" s="7">
        <v>90.0</v>
      </c>
      <c r="C17" s="7">
        <v>60.0</v>
      </c>
      <c r="D17" s="7">
        <v>89.0</v>
      </c>
      <c r="E17" s="2">
        <v>167.0</v>
      </c>
      <c r="F17" s="8">
        <f t="shared" si="1"/>
        <v>8</v>
      </c>
      <c r="G17" s="8">
        <f t="shared" si="2"/>
        <v>7</v>
      </c>
      <c r="H17" s="9">
        <f t="shared" si="3"/>
        <v>5</v>
      </c>
      <c r="I17" s="9">
        <f t="shared" si="4"/>
        <v>7</v>
      </c>
      <c r="J17" s="9">
        <f t="shared" si="5"/>
        <v>-15</v>
      </c>
      <c r="K17" s="9">
        <f t="shared" si="6"/>
        <v>-15</v>
      </c>
      <c r="L17" s="10">
        <f t="shared" si="7"/>
        <v>1.123595506</v>
      </c>
      <c r="M17" s="11">
        <f t="shared" si="8"/>
        <v>0.4916666667</v>
      </c>
      <c r="N17" s="12">
        <f t="shared" si="9"/>
        <v>0.7102469735</v>
      </c>
      <c r="O17" s="13">
        <f t="shared" si="10"/>
        <v>129.05</v>
      </c>
      <c r="P17" s="14">
        <f t="shared" si="11"/>
        <v>45.05</v>
      </c>
    </row>
    <row r="18">
      <c r="A18" s="1" t="s">
        <v>32</v>
      </c>
      <c r="B18" s="7">
        <v>81.0</v>
      </c>
      <c r="C18" s="7">
        <v>51.0</v>
      </c>
      <c r="D18" s="7">
        <v>86.0</v>
      </c>
      <c r="E18" s="2">
        <v>156.0</v>
      </c>
      <c r="F18" s="8">
        <f t="shared" si="1"/>
        <v>-3</v>
      </c>
      <c r="G18" s="8">
        <f t="shared" si="2"/>
        <v>-2</v>
      </c>
      <c r="H18" s="9">
        <f t="shared" si="3"/>
        <v>-4</v>
      </c>
      <c r="I18" s="9">
        <f t="shared" si="4"/>
        <v>4</v>
      </c>
      <c r="J18" s="9">
        <f t="shared" si="5"/>
        <v>-5</v>
      </c>
      <c r="K18" s="9">
        <f t="shared" si="6"/>
        <v>-5</v>
      </c>
      <c r="L18" s="10">
        <f t="shared" si="7"/>
        <v>-5.813953488</v>
      </c>
      <c r="M18" s="11">
        <f t="shared" si="8"/>
        <v>0.637254902</v>
      </c>
      <c r="N18" s="12">
        <f t="shared" si="9"/>
        <v>0.677310653</v>
      </c>
      <c r="O18" s="13">
        <f t="shared" si="10"/>
        <v>150.5</v>
      </c>
      <c r="P18" s="14">
        <f t="shared" si="11"/>
        <v>44.5</v>
      </c>
    </row>
    <row r="19">
      <c r="A19" s="1" t="s">
        <v>33</v>
      </c>
      <c r="B19" s="7">
        <v>93.0</v>
      </c>
      <c r="C19" s="7">
        <v>61.0</v>
      </c>
      <c r="D19" s="7">
        <v>88.0</v>
      </c>
      <c r="E19" s="2">
        <v>171.0</v>
      </c>
      <c r="F19" s="8">
        <f t="shared" si="1"/>
        <v>12</v>
      </c>
      <c r="G19" s="8">
        <f t="shared" si="2"/>
        <v>10</v>
      </c>
      <c r="H19" s="9">
        <f t="shared" si="3"/>
        <v>6</v>
      </c>
      <c r="I19" s="9">
        <f t="shared" si="4"/>
        <v>6</v>
      </c>
      <c r="J19" s="9">
        <f t="shared" si="5"/>
        <v>-22</v>
      </c>
      <c r="K19" s="9">
        <f t="shared" si="6"/>
        <v>-22</v>
      </c>
      <c r="L19" s="10">
        <f t="shared" si="7"/>
        <v>5.681818182</v>
      </c>
      <c r="M19" s="11">
        <f t="shared" si="8"/>
        <v>0.4836065574</v>
      </c>
      <c r="N19" s="12">
        <f t="shared" si="9"/>
        <v>0.6615618821</v>
      </c>
      <c r="O19" s="13">
        <f t="shared" si="10"/>
        <v>118.8</v>
      </c>
      <c r="P19" s="14">
        <f t="shared" si="11"/>
        <v>42.8</v>
      </c>
    </row>
    <row r="20">
      <c r="A20" s="1" t="s">
        <v>34</v>
      </c>
      <c r="B20" s="7">
        <v>92.0</v>
      </c>
      <c r="C20" s="7">
        <v>58.0</v>
      </c>
      <c r="D20" s="7">
        <v>88.0</v>
      </c>
      <c r="E20" s="2">
        <v>164.0</v>
      </c>
      <c r="F20" s="8">
        <f t="shared" si="1"/>
        <v>5</v>
      </c>
      <c r="G20" s="8">
        <f t="shared" si="2"/>
        <v>9</v>
      </c>
      <c r="H20" s="9">
        <f t="shared" si="3"/>
        <v>3</v>
      </c>
      <c r="I20" s="9">
        <f t="shared" si="4"/>
        <v>6</v>
      </c>
      <c r="J20" s="9">
        <f t="shared" si="5"/>
        <v>-14</v>
      </c>
      <c r="K20" s="9">
        <f t="shared" si="6"/>
        <v>-14</v>
      </c>
      <c r="L20" s="10">
        <f t="shared" si="7"/>
        <v>4.545454545</v>
      </c>
      <c r="M20" s="11">
        <f t="shared" si="8"/>
        <v>0.5517241379</v>
      </c>
      <c r="N20" s="12">
        <f t="shared" si="9"/>
        <v>0.7055487442</v>
      </c>
      <c r="O20" s="13">
        <f t="shared" si="10"/>
        <v>132</v>
      </c>
      <c r="P20" s="14">
        <f t="shared" si="11"/>
        <v>42</v>
      </c>
    </row>
    <row r="21">
      <c r="A21" s="1" t="s">
        <v>35</v>
      </c>
      <c r="B21" s="7">
        <v>77.0</v>
      </c>
      <c r="C21" s="7">
        <v>56.0</v>
      </c>
      <c r="D21" s="7">
        <v>85.0</v>
      </c>
      <c r="E21" s="2">
        <v>168.0</v>
      </c>
      <c r="F21" s="8">
        <f t="shared" si="1"/>
        <v>9</v>
      </c>
      <c r="G21" s="8">
        <f t="shared" si="2"/>
        <v>-6</v>
      </c>
      <c r="H21" s="9">
        <f t="shared" si="3"/>
        <v>1</v>
      </c>
      <c r="I21" s="9">
        <f t="shared" si="4"/>
        <v>3</v>
      </c>
      <c r="J21" s="9">
        <f t="shared" si="5"/>
        <v>-15</v>
      </c>
      <c r="K21" s="9">
        <f t="shared" si="6"/>
        <v>15</v>
      </c>
      <c r="L21" s="10">
        <f t="shared" si="7"/>
        <v>-9.411764706</v>
      </c>
      <c r="M21" s="11">
        <f t="shared" si="8"/>
        <v>0.4464285714</v>
      </c>
      <c r="N21" s="12">
        <f t="shared" si="9"/>
        <v>0.5911932853</v>
      </c>
      <c r="O21" s="13">
        <f t="shared" si="10"/>
        <v>123.25</v>
      </c>
      <c r="P21" s="14">
        <f t="shared" si="11"/>
        <v>41.25</v>
      </c>
    </row>
    <row r="22">
      <c r="A22" s="1" t="s">
        <v>36</v>
      </c>
      <c r="B22" s="7">
        <v>90.0</v>
      </c>
      <c r="C22" s="7">
        <v>57.0</v>
      </c>
      <c r="D22" s="7">
        <v>86.0</v>
      </c>
      <c r="E22" s="2">
        <v>165.0</v>
      </c>
      <c r="F22" s="8">
        <f t="shared" si="1"/>
        <v>6</v>
      </c>
      <c r="G22" s="8">
        <f t="shared" si="2"/>
        <v>7</v>
      </c>
      <c r="H22" s="9">
        <f t="shared" si="3"/>
        <v>2</v>
      </c>
      <c r="I22" s="9">
        <f t="shared" si="4"/>
        <v>4</v>
      </c>
      <c r="J22" s="9">
        <f t="shared" si="5"/>
        <v>-13</v>
      </c>
      <c r="K22" s="9">
        <f t="shared" si="6"/>
        <v>-13</v>
      </c>
      <c r="L22" s="10">
        <f t="shared" si="7"/>
        <v>4.651162791</v>
      </c>
      <c r="M22" s="11">
        <f t="shared" si="8"/>
        <v>0.5438596491</v>
      </c>
      <c r="N22" s="12">
        <f t="shared" si="9"/>
        <v>0.650962963</v>
      </c>
      <c r="O22" s="13">
        <f t="shared" si="10"/>
        <v>124.7</v>
      </c>
      <c r="P22" s="14">
        <f t="shared" si="11"/>
        <v>36.7</v>
      </c>
    </row>
    <row r="23">
      <c r="A23" s="1" t="s">
        <v>37</v>
      </c>
      <c r="B23" s="7">
        <v>92.0</v>
      </c>
      <c r="C23" s="7">
        <v>59.0</v>
      </c>
      <c r="D23" s="7">
        <v>89.0</v>
      </c>
      <c r="E23" s="2">
        <v>160.0</v>
      </c>
      <c r="F23" s="8">
        <f t="shared" si="1"/>
        <v>1</v>
      </c>
      <c r="G23" s="8">
        <f t="shared" si="2"/>
        <v>9</v>
      </c>
      <c r="H23" s="9">
        <f t="shared" si="3"/>
        <v>4</v>
      </c>
      <c r="I23" s="9">
        <f t="shared" si="4"/>
        <v>7</v>
      </c>
      <c r="J23" s="9">
        <f t="shared" si="5"/>
        <v>-10</v>
      </c>
      <c r="K23" s="9">
        <f t="shared" si="6"/>
        <v>-10</v>
      </c>
      <c r="L23" s="10">
        <f t="shared" si="7"/>
        <v>3.370786517</v>
      </c>
      <c r="M23" s="11">
        <f t="shared" si="8"/>
        <v>0.5338983051</v>
      </c>
      <c r="N23" s="12">
        <f t="shared" si="9"/>
        <v>0.791453125</v>
      </c>
      <c r="O23" s="13">
        <f t="shared" si="10"/>
        <v>133.5</v>
      </c>
      <c r="P23" s="14">
        <f t="shared" si="11"/>
        <v>35.5</v>
      </c>
    </row>
    <row r="24">
      <c r="A24" s="15" t="s">
        <v>38</v>
      </c>
      <c r="B24" s="7">
        <v>99.0</v>
      </c>
      <c r="C24" s="7">
        <v>61.0</v>
      </c>
      <c r="D24" s="7">
        <v>89.0</v>
      </c>
      <c r="E24" s="2">
        <v>164.0</v>
      </c>
      <c r="F24" s="8">
        <f t="shared" si="1"/>
        <v>5</v>
      </c>
      <c r="G24" s="8">
        <f t="shared" si="2"/>
        <v>16</v>
      </c>
      <c r="H24" s="9">
        <f t="shared" si="3"/>
        <v>6</v>
      </c>
      <c r="I24" s="9">
        <f t="shared" si="4"/>
        <v>7</v>
      </c>
      <c r="J24" s="9">
        <f t="shared" si="5"/>
        <v>-21</v>
      </c>
      <c r="K24" s="9">
        <f t="shared" si="6"/>
        <v>-21</v>
      </c>
      <c r="L24" s="10">
        <f t="shared" si="7"/>
        <v>11.23595506</v>
      </c>
      <c r="M24" s="11">
        <f t="shared" si="8"/>
        <v>0.5409836066</v>
      </c>
      <c r="N24" s="12">
        <f t="shared" si="9"/>
        <v>0.7651423369</v>
      </c>
      <c r="O24" s="13">
        <f t="shared" si="10"/>
        <v>124.6</v>
      </c>
      <c r="P24" s="14">
        <f t="shared" si="11"/>
        <v>34.6</v>
      </c>
    </row>
    <row r="25">
      <c r="A25" s="1" t="s">
        <v>39</v>
      </c>
      <c r="B25" s="7">
        <v>89.0</v>
      </c>
      <c r="C25" s="7">
        <v>57.0</v>
      </c>
      <c r="D25" s="7">
        <v>85.0</v>
      </c>
      <c r="E25" s="2">
        <v>166.0</v>
      </c>
      <c r="F25" s="8">
        <f t="shared" si="1"/>
        <v>7</v>
      </c>
      <c r="G25" s="8">
        <f t="shared" si="2"/>
        <v>6</v>
      </c>
      <c r="H25" s="9">
        <f t="shared" si="3"/>
        <v>2</v>
      </c>
      <c r="I25" s="9">
        <f t="shared" si="4"/>
        <v>3</v>
      </c>
      <c r="J25" s="9">
        <f t="shared" si="5"/>
        <v>-13</v>
      </c>
      <c r="K25" s="9">
        <f t="shared" si="6"/>
        <v>-13</v>
      </c>
      <c r="L25" s="10">
        <f t="shared" si="7"/>
        <v>4.705882353</v>
      </c>
      <c r="M25" s="11">
        <f t="shared" si="8"/>
        <v>0.5263157895</v>
      </c>
      <c r="N25" s="12">
        <f t="shared" si="9"/>
        <v>0.6259516218</v>
      </c>
      <c r="O25" s="13">
        <f t="shared" si="10"/>
        <v>119</v>
      </c>
      <c r="P25" s="14">
        <f t="shared" si="11"/>
        <v>33</v>
      </c>
    </row>
    <row r="26">
      <c r="A26" s="1" t="s">
        <v>40</v>
      </c>
      <c r="B26" s="7">
        <v>87.0</v>
      </c>
      <c r="C26" s="7">
        <v>57.0</v>
      </c>
      <c r="D26" s="7">
        <v>86.0</v>
      </c>
      <c r="E26" s="2">
        <v>163.0</v>
      </c>
      <c r="F26" s="8">
        <f t="shared" si="1"/>
        <v>4</v>
      </c>
      <c r="G26" s="8">
        <f t="shared" si="2"/>
        <v>4</v>
      </c>
      <c r="H26" s="9">
        <f t="shared" si="3"/>
        <v>2</v>
      </c>
      <c r="I26" s="9">
        <f t="shared" si="4"/>
        <v>4</v>
      </c>
      <c r="J26" s="9">
        <f t="shared" si="5"/>
        <v>-8</v>
      </c>
      <c r="K26" s="9">
        <f t="shared" si="6"/>
        <v>-8</v>
      </c>
      <c r="L26" s="10">
        <f t="shared" si="7"/>
        <v>1.162790698</v>
      </c>
      <c r="M26" s="11">
        <f t="shared" si="8"/>
        <v>0.5175438596</v>
      </c>
      <c r="N26" s="12">
        <f t="shared" si="9"/>
        <v>0.6752200025</v>
      </c>
      <c r="O26" s="13">
        <f t="shared" si="10"/>
        <v>124.7</v>
      </c>
      <c r="P26" s="14">
        <f t="shared" si="11"/>
        <v>32.7</v>
      </c>
    </row>
    <row r="27">
      <c r="A27" s="1" t="s">
        <v>41</v>
      </c>
      <c r="B27" s="7">
        <v>86.0</v>
      </c>
      <c r="C27" s="7">
        <v>56.0</v>
      </c>
      <c r="D27" s="7">
        <v>84.0</v>
      </c>
      <c r="E27" s="2">
        <v>166.0</v>
      </c>
      <c r="F27" s="8">
        <f t="shared" si="1"/>
        <v>7</v>
      </c>
      <c r="G27" s="8">
        <f t="shared" si="2"/>
        <v>3</v>
      </c>
      <c r="H27" s="9">
        <f t="shared" si="3"/>
        <v>1</v>
      </c>
      <c r="I27" s="9">
        <f t="shared" si="4"/>
        <v>2</v>
      </c>
      <c r="J27" s="9">
        <f t="shared" si="5"/>
        <v>-10</v>
      </c>
      <c r="K27" s="9">
        <f t="shared" si="6"/>
        <v>-10</v>
      </c>
      <c r="L27" s="10">
        <f t="shared" si="7"/>
        <v>2.380952381</v>
      </c>
      <c r="M27" s="11">
        <f t="shared" si="8"/>
        <v>0.5178571429</v>
      </c>
      <c r="N27" s="12">
        <f t="shared" si="9"/>
        <v>0.5998737292</v>
      </c>
      <c r="O27" s="13">
        <f t="shared" si="10"/>
        <v>117.6</v>
      </c>
      <c r="P27" s="14">
        <f t="shared" si="11"/>
        <v>31.6</v>
      </c>
    </row>
    <row r="28">
      <c r="A28" s="1" t="s">
        <v>42</v>
      </c>
      <c r="B28" s="7">
        <v>90.0</v>
      </c>
      <c r="C28" s="7">
        <v>60.0</v>
      </c>
      <c r="D28" s="7">
        <v>88.0</v>
      </c>
      <c r="E28" s="2">
        <v>163.0</v>
      </c>
      <c r="F28" s="8">
        <f t="shared" si="1"/>
        <v>4</v>
      </c>
      <c r="G28" s="8">
        <f t="shared" si="2"/>
        <v>7</v>
      </c>
      <c r="H28" s="9">
        <f t="shared" si="3"/>
        <v>5</v>
      </c>
      <c r="I28" s="9">
        <f t="shared" si="4"/>
        <v>6</v>
      </c>
      <c r="J28" s="9">
        <f t="shared" si="5"/>
        <v>-11</v>
      </c>
      <c r="K28" s="9">
        <f t="shared" si="6"/>
        <v>-11</v>
      </c>
      <c r="L28" s="10">
        <f t="shared" si="7"/>
        <v>2.272727273</v>
      </c>
      <c r="M28" s="11">
        <f t="shared" si="8"/>
        <v>0.4833333333</v>
      </c>
      <c r="N28" s="12">
        <f t="shared" si="9"/>
        <v>0.7485526169</v>
      </c>
      <c r="O28" s="13">
        <f t="shared" si="10"/>
        <v>123.2</v>
      </c>
      <c r="P28" s="14">
        <f t="shared" si="11"/>
        <v>31.2</v>
      </c>
    </row>
    <row r="29">
      <c r="A29" s="1" t="s">
        <v>43</v>
      </c>
      <c r="B29" s="7">
        <v>82.0</v>
      </c>
      <c r="C29" s="7">
        <v>53.0</v>
      </c>
      <c r="D29" s="7">
        <v>85.0</v>
      </c>
      <c r="E29" s="2">
        <v>156.0</v>
      </c>
      <c r="F29" s="8">
        <f t="shared" si="1"/>
        <v>-3</v>
      </c>
      <c r="G29" s="8">
        <f t="shared" si="2"/>
        <v>-1</v>
      </c>
      <c r="H29" s="9">
        <f t="shared" si="3"/>
        <v>-2</v>
      </c>
      <c r="I29" s="9">
        <f t="shared" si="4"/>
        <v>3</v>
      </c>
      <c r="J29" s="9">
        <f t="shared" si="5"/>
        <v>-4</v>
      </c>
      <c r="K29" s="9">
        <f t="shared" si="6"/>
        <v>-4</v>
      </c>
      <c r="L29" s="10">
        <f t="shared" si="7"/>
        <v>-3.529411765</v>
      </c>
      <c r="M29" s="11">
        <f t="shared" si="8"/>
        <v>0.5754716981</v>
      </c>
      <c r="N29" s="12">
        <f t="shared" si="9"/>
        <v>0.6922507965</v>
      </c>
      <c r="O29" s="13">
        <f t="shared" si="10"/>
        <v>136</v>
      </c>
      <c r="P29" s="14">
        <f t="shared" si="11"/>
        <v>30</v>
      </c>
    </row>
    <row r="30">
      <c r="A30" s="1" t="s">
        <v>44</v>
      </c>
      <c r="B30" s="7">
        <v>88.0</v>
      </c>
      <c r="C30" s="7">
        <v>58.0</v>
      </c>
      <c r="D30" s="7">
        <v>88.0</v>
      </c>
      <c r="E30" s="2">
        <v>158.0</v>
      </c>
      <c r="F30" s="8">
        <f t="shared" si="1"/>
        <v>-1</v>
      </c>
      <c r="G30" s="8">
        <f t="shared" si="2"/>
        <v>5</v>
      </c>
      <c r="H30" s="9">
        <f t="shared" si="3"/>
        <v>3</v>
      </c>
      <c r="I30" s="9">
        <f t="shared" si="4"/>
        <v>6</v>
      </c>
      <c r="J30" s="9">
        <f t="shared" si="5"/>
        <v>6</v>
      </c>
      <c r="K30" s="9">
        <f t="shared" si="6"/>
        <v>-6</v>
      </c>
      <c r="L30" s="10">
        <f t="shared" si="7"/>
        <v>0</v>
      </c>
      <c r="M30" s="11">
        <f t="shared" si="8"/>
        <v>0.5172413793</v>
      </c>
      <c r="N30" s="12">
        <f t="shared" si="9"/>
        <v>0.7890187186</v>
      </c>
      <c r="O30" s="13">
        <f t="shared" si="10"/>
        <v>132</v>
      </c>
      <c r="P30" s="14">
        <f t="shared" si="11"/>
        <v>30</v>
      </c>
    </row>
    <row r="31">
      <c r="A31" s="1" t="s">
        <v>45</v>
      </c>
      <c r="B31" s="7">
        <v>84.0</v>
      </c>
      <c r="C31" s="7">
        <v>55.0</v>
      </c>
      <c r="D31" s="7">
        <v>85.0</v>
      </c>
      <c r="E31" s="2">
        <v>160.0</v>
      </c>
      <c r="F31" s="8">
        <f t="shared" si="1"/>
        <v>1</v>
      </c>
      <c r="G31" s="8">
        <f t="shared" si="2"/>
        <v>1</v>
      </c>
      <c r="H31" s="9">
        <f t="shared" si="3"/>
        <v>0</v>
      </c>
      <c r="I31" s="9">
        <f t="shared" si="4"/>
        <v>3</v>
      </c>
      <c r="J31" s="9">
        <f t="shared" si="5"/>
        <v>-2</v>
      </c>
      <c r="K31" s="9">
        <f t="shared" si="6"/>
        <v>-2</v>
      </c>
      <c r="L31" s="10">
        <f t="shared" si="7"/>
        <v>-1.176470588</v>
      </c>
      <c r="M31" s="11">
        <f t="shared" si="8"/>
        <v>0.5363636364</v>
      </c>
      <c r="N31" s="12">
        <f t="shared" si="9"/>
        <v>0.669921875</v>
      </c>
      <c r="O31" s="13">
        <f t="shared" si="10"/>
        <v>127.5</v>
      </c>
      <c r="P31" s="14">
        <f t="shared" si="11"/>
        <v>29.5</v>
      </c>
    </row>
    <row r="32">
      <c r="A32" s="1" t="s">
        <v>46</v>
      </c>
      <c r="B32" s="7">
        <v>90.0</v>
      </c>
      <c r="C32" s="7">
        <v>59.0</v>
      </c>
      <c r="D32" s="7">
        <v>89.0</v>
      </c>
      <c r="E32" s="2">
        <v>157.0</v>
      </c>
      <c r="F32" s="8">
        <f t="shared" si="1"/>
        <v>-2</v>
      </c>
      <c r="G32" s="8">
        <f t="shared" si="2"/>
        <v>7</v>
      </c>
      <c r="H32" s="9">
        <f t="shared" si="3"/>
        <v>4</v>
      </c>
      <c r="I32" s="9">
        <f t="shared" si="4"/>
        <v>7</v>
      </c>
      <c r="J32" s="9">
        <f t="shared" si="5"/>
        <v>9</v>
      </c>
      <c r="K32" s="9">
        <f t="shared" si="6"/>
        <v>-9</v>
      </c>
      <c r="L32" s="10">
        <f t="shared" si="7"/>
        <v>1.123595506</v>
      </c>
      <c r="M32" s="11">
        <f t="shared" si="8"/>
        <v>0.5169491525</v>
      </c>
      <c r="N32" s="12">
        <f t="shared" si="9"/>
        <v>0.8376955125</v>
      </c>
      <c r="O32" s="13">
        <f t="shared" si="10"/>
        <v>133.5</v>
      </c>
      <c r="P32" s="14">
        <f t="shared" si="11"/>
        <v>29.5</v>
      </c>
    </row>
    <row r="33">
      <c r="A33" s="1" t="s">
        <v>47</v>
      </c>
      <c r="B33" s="7">
        <v>89.0</v>
      </c>
      <c r="C33" s="7">
        <v>56.0</v>
      </c>
      <c r="D33" s="7">
        <v>85.0</v>
      </c>
      <c r="E33" s="2">
        <v>162.0</v>
      </c>
      <c r="F33" s="8">
        <f t="shared" si="1"/>
        <v>3</v>
      </c>
      <c r="G33" s="8">
        <f t="shared" si="2"/>
        <v>6</v>
      </c>
      <c r="H33" s="9">
        <f t="shared" si="3"/>
        <v>1</v>
      </c>
      <c r="I33" s="9">
        <f t="shared" si="4"/>
        <v>3</v>
      </c>
      <c r="J33" s="9">
        <f t="shared" si="5"/>
        <v>-9</v>
      </c>
      <c r="K33" s="9">
        <f t="shared" si="6"/>
        <v>-9</v>
      </c>
      <c r="L33" s="10">
        <f t="shared" si="7"/>
        <v>4.705882353</v>
      </c>
      <c r="M33" s="11">
        <f t="shared" si="8"/>
        <v>0.5535714286</v>
      </c>
      <c r="N33" s="12">
        <f t="shared" si="9"/>
        <v>0.6593443581</v>
      </c>
      <c r="O33" s="13">
        <f t="shared" si="10"/>
        <v>123.25</v>
      </c>
      <c r="P33" s="14">
        <f t="shared" si="11"/>
        <v>29.25</v>
      </c>
    </row>
    <row r="34">
      <c r="A34" s="1" t="s">
        <v>48</v>
      </c>
      <c r="B34" s="7">
        <v>86.0</v>
      </c>
      <c r="C34" s="7">
        <v>56.0</v>
      </c>
      <c r="D34" s="7">
        <v>85.0</v>
      </c>
      <c r="E34" s="2">
        <v>162.0</v>
      </c>
      <c r="F34" s="8">
        <f t="shared" si="1"/>
        <v>3</v>
      </c>
      <c r="G34" s="8">
        <f t="shared" si="2"/>
        <v>3</v>
      </c>
      <c r="H34" s="9">
        <f t="shared" si="3"/>
        <v>1</v>
      </c>
      <c r="I34" s="9">
        <f t="shared" si="4"/>
        <v>3</v>
      </c>
      <c r="J34" s="9">
        <f t="shared" si="5"/>
        <v>-6</v>
      </c>
      <c r="K34" s="9">
        <f t="shared" si="6"/>
        <v>-6</v>
      </c>
      <c r="L34" s="10">
        <f t="shared" si="7"/>
        <v>1.176470588</v>
      </c>
      <c r="M34" s="11">
        <f t="shared" si="8"/>
        <v>0.5267857143</v>
      </c>
      <c r="N34" s="12">
        <f t="shared" si="9"/>
        <v>0.6593443581</v>
      </c>
      <c r="O34" s="13">
        <f t="shared" si="10"/>
        <v>123.25</v>
      </c>
      <c r="P34" s="14">
        <f t="shared" si="11"/>
        <v>29.25</v>
      </c>
    </row>
    <row r="35">
      <c r="A35" s="1" t="s">
        <v>49</v>
      </c>
      <c r="B35" s="7">
        <v>87.0</v>
      </c>
      <c r="C35" s="7">
        <v>56.0</v>
      </c>
      <c r="D35" s="7">
        <v>85.0</v>
      </c>
      <c r="E35" s="2">
        <v>162.0</v>
      </c>
      <c r="F35" s="8">
        <f t="shared" si="1"/>
        <v>3</v>
      </c>
      <c r="G35" s="8">
        <f t="shared" si="2"/>
        <v>4</v>
      </c>
      <c r="H35" s="9">
        <f t="shared" si="3"/>
        <v>1</v>
      </c>
      <c r="I35" s="9">
        <f t="shared" si="4"/>
        <v>3</v>
      </c>
      <c r="J35" s="9">
        <f t="shared" si="5"/>
        <v>-7</v>
      </c>
      <c r="K35" s="9">
        <f t="shared" si="6"/>
        <v>-7</v>
      </c>
      <c r="L35" s="10">
        <f t="shared" si="7"/>
        <v>2.352941176</v>
      </c>
      <c r="M35" s="11">
        <f t="shared" si="8"/>
        <v>0.5357142857</v>
      </c>
      <c r="N35" s="12">
        <f t="shared" si="9"/>
        <v>0.6593443581</v>
      </c>
      <c r="O35" s="13">
        <f t="shared" si="10"/>
        <v>123.25</v>
      </c>
      <c r="P35" s="14">
        <f t="shared" si="11"/>
        <v>29.25</v>
      </c>
    </row>
    <row r="36">
      <c r="A36" s="1" t="s">
        <v>50</v>
      </c>
      <c r="B36" s="7">
        <v>89.0</v>
      </c>
      <c r="C36" s="7">
        <v>58.0</v>
      </c>
      <c r="D36" s="7">
        <v>86.0</v>
      </c>
      <c r="E36" s="2">
        <v>163.0</v>
      </c>
      <c r="F36" s="8">
        <f t="shared" si="1"/>
        <v>4</v>
      </c>
      <c r="G36" s="8">
        <f t="shared" si="2"/>
        <v>6</v>
      </c>
      <c r="H36" s="9">
        <f t="shared" si="3"/>
        <v>3</v>
      </c>
      <c r="I36" s="9">
        <f t="shared" si="4"/>
        <v>4</v>
      </c>
      <c r="J36" s="9">
        <f t="shared" si="5"/>
        <v>-10</v>
      </c>
      <c r="K36" s="9">
        <f t="shared" si="6"/>
        <v>-10</v>
      </c>
      <c r="L36" s="10">
        <f t="shared" si="7"/>
        <v>3.488372093</v>
      </c>
      <c r="M36" s="11">
        <f t="shared" si="8"/>
        <v>0.5086206897</v>
      </c>
      <c r="N36" s="12">
        <f t="shared" si="9"/>
        <v>0.6894847471</v>
      </c>
      <c r="O36" s="13">
        <f t="shared" si="10"/>
        <v>120.4</v>
      </c>
      <c r="P36" s="14">
        <f t="shared" si="11"/>
        <v>28.4</v>
      </c>
    </row>
    <row r="37">
      <c r="A37" s="1" t="s">
        <v>51</v>
      </c>
      <c r="B37" s="7">
        <v>75.0</v>
      </c>
      <c r="C37" s="7">
        <v>53.0</v>
      </c>
      <c r="D37" s="7">
        <v>82.0</v>
      </c>
      <c r="E37" s="2">
        <v>163.0</v>
      </c>
      <c r="F37" s="8">
        <f t="shared" si="1"/>
        <v>4</v>
      </c>
      <c r="G37" s="8">
        <f t="shared" si="2"/>
        <v>-8</v>
      </c>
      <c r="H37" s="9">
        <f t="shared" si="3"/>
        <v>-2</v>
      </c>
      <c r="I37" s="9">
        <f t="shared" si="4"/>
        <v>0</v>
      </c>
      <c r="J37" s="9">
        <f t="shared" si="5"/>
        <v>-12</v>
      </c>
      <c r="K37" s="9">
        <f t="shared" si="6"/>
        <v>12</v>
      </c>
      <c r="L37" s="10">
        <f t="shared" si="7"/>
        <v>-8.536585366</v>
      </c>
      <c r="M37" s="11">
        <f t="shared" si="8"/>
        <v>0.4811320755</v>
      </c>
      <c r="N37" s="12">
        <f t="shared" si="9"/>
        <v>0.5681179252</v>
      </c>
      <c r="O37" s="13">
        <f t="shared" si="10"/>
        <v>118.9</v>
      </c>
      <c r="P37" s="14">
        <f t="shared" si="11"/>
        <v>26.9</v>
      </c>
    </row>
    <row r="38">
      <c r="A38" s="1" t="s">
        <v>52</v>
      </c>
      <c r="B38" s="7">
        <v>84.0</v>
      </c>
      <c r="C38" s="7">
        <v>57.0</v>
      </c>
      <c r="D38" s="7">
        <v>86.0</v>
      </c>
      <c r="E38" s="2">
        <v>160.0</v>
      </c>
      <c r="F38" s="8">
        <f t="shared" si="1"/>
        <v>1</v>
      </c>
      <c r="G38" s="8">
        <f t="shared" si="2"/>
        <v>1</v>
      </c>
      <c r="H38" s="9">
        <f t="shared" si="3"/>
        <v>2</v>
      </c>
      <c r="I38" s="9">
        <f t="shared" si="4"/>
        <v>4</v>
      </c>
      <c r="J38" s="9">
        <f t="shared" si="5"/>
        <v>-2</v>
      </c>
      <c r="K38" s="9">
        <f t="shared" si="6"/>
        <v>-2</v>
      </c>
      <c r="L38" s="10">
        <f t="shared" si="7"/>
        <v>-2.325581395</v>
      </c>
      <c r="M38" s="11">
        <f t="shared" si="8"/>
        <v>0.4912280702</v>
      </c>
      <c r="N38" s="12">
        <f t="shared" si="9"/>
        <v>0.7139177246</v>
      </c>
      <c r="O38" s="13">
        <f t="shared" si="10"/>
        <v>124.7</v>
      </c>
      <c r="P38" s="14">
        <f t="shared" si="11"/>
        <v>26.7</v>
      </c>
    </row>
    <row r="39">
      <c r="A39" s="1" t="s">
        <v>53</v>
      </c>
      <c r="B39" s="7">
        <v>90.0</v>
      </c>
      <c r="C39" s="7">
        <v>57.0</v>
      </c>
      <c r="D39" s="7">
        <v>86.0</v>
      </c>
      <c r="E39" s="2">
        <v>160.0</v>
      </c>
      <c r="F39" s="8">
        <f t="shared" si="1"/>
        <v>1</v>
      </c>
      <c r="G39" s="8">
        <f t="shared" si="2"/>
        <v>7</v>
      </c>
      <c r="H39" s="9">
        <f t="shared" si="3"/>
        <v>2</v>
      </c>
      <c r="I39" s="9">
        <f t="shared" si="4"/>
        <v>4</v>
      </c>
      <c r="J39" s="9">
        <f t="shared" si="5"/>
        <v>-8</v>
      </c>
      <c r="K39" s="9">
        <f t="shared" si="6"/>
        <v>-8</v>
      </c>
      <c r="L39" s="10">
        <f t="shared" si="7"/>
        <v>4.651162791</v>
      </c>
      <c r="M39" s="11">
        <f t="shared" si="8"/>
        <v>0.5438596491</v>
      </c>
      <c r="N39" s="12">
        <f t="shared" si="9"/>
        <v>0.7139177246</v>
      </c>
      <c r="O39" s="13">
        <f t="shared" si="10"/>
        <v>124.7</v>
      </c>
      <c r="P39" s="14">
        <f t="shared" si="11"/>
        <v>26.7</v>
      </c>
    </row>
    <row r="40">
      <c r="A40" s="1" t="s">
        <v>54</v>
      </c>
      <c r="B40" s="7">
        <v>86.0</v>
      </c>
      <c r="C40" s="7">
        <v>56.0</v>
      </c>
      <c r="D40" s="7">
        <v>83.0</v>
      </c>
      <c r="E40" s="2">
        <v>166.0</v>
      </c>
      <c r="F40" s="8">
        <f t="shared" si="1"/>
        <v>7</v>
      </c>
      <c r="G40" s="8">
        <f t="shared" si="2"/>
        <v>3</v>
      </c>
      <c r="H40" s="9">
        <f t="shared" si="3"/>
        <v>1</v>
      </c>
      <c r="I40" s="9">
        <f t="shared" si="4"/>
        <v>1</v>
      </c>
      <c r="J40" s="9">
        <f t="shared" si="5"/>
        <v>-10</v>
      </c>
      <c r="K40" s="9">
        <f t="shared" si="6"/>
        <v>-10</v>
      </c>
      <c r="L40" s="10">
        <f t="shared" si="7"/>
        <v>3.614457831</v>
      </c>
      <c r="M40" s="11">
        <f t="shared" si="8"/>
        <v>0.5089285714</v>
      </c>
      <c r="N40" s="12">
        <f t="shared" si="9"/>
        <v>0.5871108909</v>
      </c>
      <c r="O40" s="13">
        <f t="shared" si="10"/>
        <v>112.05</v>
      </c>
      <c r="P40" s="14">
        <f t="shared" si="11"/>
        <v>26.05</v>
      </c>
    </row>
    <row r="41">
      <c r="A41" s="1" t="s">
        <v>55</v>
      </c>
      <c r="B41" s="7">
        <v>88.0</v>
      </c>
      <c r="C41" s="7">
        <v>57.0</v>
      </c>
      <c r="D41" s="7">
        <v>84.0</v>
      </c>
      <c r="E41" s="2">
        <v>165.0</v>
      </c>
      <c r="F41" s="8">
        <f t="shared" si="1"/>
        <v>6</v>
      </c>
      <c r="G41" s="8">
        <f t="shared" si="2"/>
        <v>5</v>
      </c>
      <c r="H41" s="9">
        <f t="shared" si="3"/>
        <v>2</v>
      </c>
      <c r="I41" s="9">
        <f t="shared" si="4"/>
        <v>2</v>
      </c>
      <c r="J41" s="9">
        <f t="shared" si="5"/>
        <v>-11</v>
      </c>
      <c r="K41" s="9">
        <f t="shared" si="6"/>
        <v>-11</v>
      </c>
      <c r="L41" s="10">
        <f t="shared" si="7"/>
        <v>4.761904762</v>
      </c>
      <c r="M41" s="11">
        <f t="shared" si="8"/>
        <v>0.5087719298</v>
      </c>
      <c r="N41" s="12">
        <f t="shared" si="9"/>
        <v>0.6240300526</v>
      </c>
      <c r="O41" s="13">
        <f t="shared" si="10"/>
        <v>113.4</v>
      </c>
      <c r="P41" s="14">
        <f t="shared" si="11"/>
        <v>25.4</v>
      </c>
    </row>
    <row r="42">
      <c r="A42" s="1" t="s">
        <v>56</v>
      </c>
      <c r="B42" s="7">
        <v>80.0</v>
      </c>
      <c r="C42" s="7">
        <v>56.0</v>
      </c>
      <c r="D42" s="7">
        <v>85.0</v>
      </c>
      <c r="E42" s="2">
        <v>160.0</v>
      </c>
      <c r="F42" s="8">
        <f t="shared" si="1"/>
        <v>1</v>
      </c>
      <c r="G42" s="8">
        <f t="shared" si="2"/>
        <v>-3</v>
      </c>
      <c r="H42" s="9">
        <f t="shared" si="3"/>
        <v>1</v>
      </c>
      <c r="I42" s="9">
        <f t="shared" si="4"/>
        <v>3</v>
      </c>
      <c r="J42" s="9">
        <f t="shared" si="5"/>
        <v>-4</v>
      </c>
      <c r="K42" s="9">
        <f t="shared" si="6"/>
        <v>4</v>
      </c>
      <c r="L42" s="10">
        <f t="shared" si="7"/>
        <v>-5.882352941</v>
      </c>
      <c r="M42" s="11">
        <f t="shared" si="8"/>
        <v>0.4732142857</v>
      </c>
      <c r="N42" s="12">
        <f t="shared" si="9"/>
        <v>0.684380127</v>
      </c>
      <c r="O42" s="13">
        <f t="shared" si="10"/>
        <v>123.25</v>
      </c>
      <c r="P42" s="14">
        <f t="shared" si="11"/>
        <v>25.25</v>
      </c>
    </row>
    <row r="43">
      <c r="A43" s="1" t="s">
        <v>57</v>
      </c>
      <c r="B43" s="7">
        <v>88.0</v>
      </c>
      <c r="C43" s="7">
        <v>58.0</v>
      </c>
      <c r="D43" s="7">
        <v>84.0</v>
      </c>
      <c r="E43" s="2">
        <v>167.0</v>
      </c>
      <c r="F43" s="8">
        <f t="shared" si="1"/>
        <v>8</v>
      </c>
      <c r="G43" s="8">
        <f t="shared" si="2"/>
        <v>5</v>
      </c>
      <c r="H43" s="9">
        <f t="shared" si="3"/>
        <v>3</v>
      </c>
      <c r="I43" s="9">
        <f t="shared" si="4"/>
        <v>2</v>
      </c>
      <c r="J43" s="9">
        <f t="shared" si="5"/>
        <v>-13</v>
      </c>
      <c r="K43" s="9">
        <f t="shared" si="6"/>
        <v>-13</v>
      </c>
      <c r="L43" s="10">
        <f t="shared" si="7"/>
        <v>4.761904762</v>
      </c>
      <c r="M43" s="11">
        <f t="shared" si="8"/>
        <v>0.4827586207</v>
      </c>
      <c r="N43" s="12">
        <f t="shared" si="9"/>
        <v>0.6147741807</v>
      </c>
      <c r="O43" s="13">
        <f t="shared" si="10"/>
        <v>109.2</v>
      </c>
      <c r="P43" s="14">
        <f t="shared" si="11"/>
        <v>25.2</v>
      </c>
    </row>
    <row r="44">
      <c r="A44" s="1" t="s">
        <v>58</v>
      </c>
      <c r="B44" s="7">
        <v>88.0</v>
      </c>
      <c r="C44" s="7">
        <v>57.0</v>
      </c>
      <c r="D44" s="7">
        <v>85.0</v>
      </c>
      <c r="E44" s="2">
        <v>162.0</v>
      </c>
      <c r="F44" s="8">
        <f t="shared" si="1"/>
        <v>3</v>
      </c>
      <c r="G44" s="8">
        <f t="shared" si="2"/>
        <v>5</v>
      </c>
      <c r="H44" s="9">
        <f t="shared" si="3"/>
        <v>2</v>
      </c>
      <c r="I44" s="9">
        <f t="shared" si="4"/>
        <v>3</v>
      </c>
      <c r="J44" s="9">
        <f t="shared" si="5"/>
        <v>-8</v>
      </c>
      <c r="K44" s="9">
        <f t="shared" si="6"/>
        <v>-8</v>
      </c>
      <c r="L44" s="10">
        <f t="shared" si="7"/>
        <v>3.529411765</v>
      </c>
      <c r="M44" s="11">
        <f t="shared" si="8"/>
        <v>0.5175438596</v>
      </c>
      <c r="N44" s="12">
        <f t="shared" si="9"/>
        <v>0.6734726903</v>
      </c>
      <c r="O44" s="13">
        <f t="shared" si="10"/>
        <v>119</v>
      </c>
      <c r="P44" s="14">
        <f t="shared" si="11"/>
        <v>25</v>
      </c>
    </row>
    <row r="45">
      <c r="A45" s="1" t="s">
        <v>59</v>
      </c>
      <c r="B45" s="7">
        <v>87.0</v>
      </c>
      <c r="C45" s="7">
        <v>54.0</v>
      </c>
      <c r="D45" s="7">
        <v>84.0</v>
      </c>
      <c r="E45" s="2">
        <v>158.0</v>
      </c>
      <c r="F45" s="8">
        <f t="shared" si="1"/>
        <v>-1</v>
      </c>
      <c r="G45" s="8">
        <f t="shared" si="2"/>
        <v>4</v>
      </c>
      <c r="H45" s="9">
        <f t="shared" si="3"/>
        <v>-1</v>
      </c>
      <c r="I45" s="9">
        <f t="shared" si="4"/>
        <v>2</v>
      </c>
      <c r="J45" s="9">
        <f t="shared" si="5"/>
        <v>5</v>
      </c>
      <c r="K45" s="9">
        <f t="shared" si="6"/>
        <v>-5</v>
      </c>
      <c r="L45" s="10">
        <f t="shared" si="7"/>
        <v>3.571428571</v>
      </c>
      <c r="M45" s="11">
        <f t="shared" si="8"/>
        <v>0.5833333333</v>
      </c>
      <c r="N45" s="12">
        <f t="shared" si="9"/>
        <v>0.6662941471</v>
      </c>
      <c r="O45" s="13">
        <f t="shared" si="10"/>
        <v>126</v>
      </c>
      <c r="P45" s="14">
        <f t="shared" si="11"/>
        <v>24</v>
      </c>
    </row>
    <row r="46">
      <c r="A46" s="1" t="s">
        <v>60</v>
      </c>
      <c r="B46" s="7">
        <v>86.0</v>
      </c>
      <c r="C46" s="7">
        <v>57.0</v>
      </c>
      <c r="D46" s="7">
        <v>84.0</v>
      </c>
      <c r="E46" s="2">
        <v>164.0</v>
      </c>
      <c r="F46" s="8">
        <f t="shared" si="1"/>
        <v>5</v>
      </c>
      <c r="G46" s="8">
        <f t="shared" si="2"/>
        <v>3</v>
      </c>
      <c r="H46" s="9">
        <f t="shared" si="3"/>
        <v>2</v>
      </c>
      <c r="I46" s="9">
        <f t="shared" si="4"/>
        <v>2</v>
      </c>
      <c r="J46" s="9">
        <f t="shared" si="5"/>
        <v>-8</v>
      </c>
      <c r="K46" s="9">
        <f t="shared" si="6"/>
        <v>-8</v>
      </c>
      <c r="L46" s="10">
        <f t="shared" si="7"/>
        <v>2.380952381</v>
      </c>
      <c r="M46" s="11">
        <f t="shared" si="8"/>
        <v>0.4912280702</v>
      </c>
      <c r="N46" s="12">
        <f t="shared" si="9"/>
        <v>0.6355149827</v>
      </c>
      <c r="O46" s="13">
        <f t="shared" si="10"/>
        <v>113.4</v>
      </c>
      <c r="P46" s="14">
        <f t="shared" si="11"/>
        <v>23.4</v>
      </c>
    </row>
    <row r="47">
      <c r="A47" s="1" t="s">
        <v>61</v>
      </c>
      <c r="B47" s="7">
        <v>82.0</v>
      </c>
      <c r="C47" s="7">
        <v>58.0</v>
      </c>
      <c r="D47" s="7">
        <v>84.0</v>
      </c>
      <c r="E47" s="2">
        <v>166.0</v>
      </c>
      <c r="F47" s="8">
        <f t="shared" si="1"/>
        <v>7</v>
      </c>
      <c r="G47" s="8">
        <f t="shared" si="2"/>
        <v>-1</v>
      </c>
      <c r="H47" s="9">
        <f t="shared" si="3"/>
        <v>3</v>
      </c>
      <c r="I47" s="9">
        <f t="shared" si="4"/>
        <v>2</v>
      </c>
      <c r="J47" s="9">
        <f t="shared" si="5"/>
        <v>-8</v>
      </c>
      <c r="K47" s="9">
        <f t="shared" si="6"/>
        <v>8</v>
      </c>
      <c r="L47" s="10">
        <f t="shared" si="7"/>
        <v>-2.380952381</v>
      </c>
      <c r="M47" s="11">
        <f t="shared" si="8"/>
        <v>0.4310344828</v>
      </c>
      <c r="N47" s="12">
        <f t="shared" si="9"/>
        <v>0.6259516218</v>
      </c>
      <c r="O47" s="13">
        <f t="shared" si="10"/>
        <v>109.2</v>
      </c>
      <c r="P47" s="14">
        <f t="shared" si="11"/>
        <v>23.2</v>
      </c>
    </row>
    <row r="48">
      <c r="A48" s="1" t="s">
        <v>62</v>
      </c>
      <c r="B48" s="7">
        <v>86.0</v>
      </c>
      <c r="C48" s="7">
        <v>59.0</v>
      </c>
      <c r="D48" s="7">
        <v>85.0</v>
      </c>
      <c r="E48" s="2">
        <v>165.0</v>
      </c>
      <c r="F48" s="8">
        <f t="shared" si="1"/>
        <v>6</v>
      </c>
      <c r="G48" s="8">
        <f t="shared" si="2"/>
        <v>3</v>
      </c>
      <c r="H48" s="9">
        <f t="shared" si="3"/>
        <v>4</v>
      </c>
      <c r="I48" s="9">
        <f t="shared" si="4"/>
        <v>3</v>
      </c>
      <c r="J48" s="9">
        <f t="shared" si="5"/>
        <v>-9</v>
      </c>
      <c r="K48" s="9">
        <f t="shared" si="6"/>
        <v>-9</v>
      </c>
      <c r="L48" s="10">
        <f t="shared" si="7"/>
        <v>1.176470588</v>
      </c>
      <c r="M48" s="11">
        <f t="shared" si="8"/>
        <v>0.4491525424</v>
      </c>
      <c r="N48" s="12">
        <f t="shared" si="9"/>
        <v>0.6647152517</v>
      </c>
      <c r="O48" s="13">
        <f t="shared" si="10"/>
        <v>110.5</v>
      </c>
      <c r="P48" s="14">
        <f t="shared" si="11"/>
        <v>22.5</v>
      </c>
    </row>
    <row r="49">
      <c r="A49" s="1" t="s">
        <v>63</v>
      </c>
      <c r="B49" s="7">
        <v>77.0</v>
      </c>
      <c r="C49" s="7">
        <v>57.0</v>
      </c>
      <c r="D49" s="7">
        <v>88.0</v>
      </c>
      <c r="E49" s="2">
        <v>152.0</v>
      </c>
      <c r="F49" s="8">
        <f t="shared" si="1"/>
        <v>-7</v>
      </c>
      <c r="G49" s="8">
        <f t="shared" si="2"/>
        <v>-6</v>
      </c>
      <c r="H49" s="9">
        <f t="shared" si="3"/>
        <v>2</v>
      </c>
      <c r="I49" s="9">
        <f t="shared" si="4"/>
        <v>6</v>
      </c>
      <c r="J49" s="9">
        <f t="shared" si="5"/>
        <v>-13</v>
      </c>
      <c r="K49" s="9">
        <f t="shared" si="6"/>
        <v>-13</v>
      </c>
      <c r="L49" s="10">
        <f t="shared" si="7"/>
        <v>-12.5</v>
      </c>
      <c r="M49" s="11">
        <f t="shared" si="8"/>
        <v>0.4473684211</v>
      </c>
      <c r="N49" s="12">
        <f t="shared" si="9"/>
        <v>0.8681069694</v>
      </c>
      <c r="O49" s="13">
        <f t="shared" si="10"/>
        <v>136.4</v>
      </c>
      <c r="P49" s="14">
        <f t="shared" si="11"/>
        <v>22.4</v>
      </c>
    </row>
    <row r="50">
      <c r="A50" s="1" t="s">
        <v>64</v>
      </c>
      <c r="B50" s="7">
        <v>88.0</v>
      </c>
      <c r="C50" s="7">
        <v>58.0</v>
      </c>
      <c r="D50" s="7">
        <v>86.0</v>
      </c>
      <c r="E50" s="2">
        <v>160.0</v>
      </c>
      <c r="F50" s="8">
        <f t="shared" si="1"/>
        <v>1</v>
      </c>
      <c r="G50" s="8">
        <f t="shared" si="2"/>
        <v>5</v>
      </c>
      <c r="H50" s="9">
        <f t="shared" si="3"/>
        <v>3</v>
      </c>
      <c r="I50" s="9">
        <f t="shared" si="4"/>
        <v>4</v>
      </c>
      <c r="J50" s="9">
        <f t="shared" si="5"/>
        <v>-6</v>
      </c>
      <c r="K50" s="9">
        <f t="shared" si="6"/>
        <v>-6</v>
      </c>
      <c r="L50" s="10">
        <f t="shared" si="7"/>
        <v>2.325581395</v>
      </c>
      <c r="M50" s="11">
        <f t="shared" si="8"/>
        <v>0.5</v>
      </c>
      <c r="N50" s="12">
        <f t="shared" si="9"/>
        <v>0.729</v>
      </c>
      <c r="O50" s="13">
        <f t="shared" si="10"/>
        <v>120.4</v>
      </c>
      <c r="P50" s="14">
        <f t="shared" si="11"/>
        <v>22.4</v>
      </c>
    </row>
    <row r="51">
      <c r="A51" s="1" t="s">
        <v>65</v>
      </c>
      <c r="B51" s="7">
        <v>85.0</v>
      </c>
      <c r="C51" s="7">
        <v>58.0</v>
      </c>
      <c r="D51" s="7">
        <v>86.0</v>
      </c>
      <c r="E51" s="2">
        <v>160.0</v>
      </c>
      <c r="F51" s="8">
        <f t="shared" si="1"/>
        <v>1</v>
      </c>
      <c r="G51" s="8">
        <f t="shared" si="2"/>
        <v>2</v>
      </c>
      <c r="H51" s="9">
        <f t="shared" si="3"/>
        <v>3</v>
      </c>
      <c r="I51" s="9">
        <f t="shared" si="4"/>
        <v>4</v>
      </c>
      <c r="J51" s="9">
        <f t="shared" si="5"/>
        <v>-3</v>
      </c>
      <c r="K51" s="9">
        <f t="shared" si="6"/>
        <v>-3</v>
      </c>
      <c r="L51" s="10">
        <f t="shared" si="7"/>
        <v>-1.162790698</v>
      </c>
      <c r="M51" s="11">
        <f t="shared" si="8"/>
        <v>0.474137931</v>
      </c>
      <c r="N51" s="12">
        <f t="shared" si="9"/>
        <v>0.729</v>
      </c>
      <c r="O51" s="13">
        <f t="shared" si="10"/>
        <v>120.4</v>
      </c>
      <c r="P51" s="14">
        <f t="shared" si="11"/>
        <v>22.4</v>
      </c>
    </row>
    <row r="52">
      <c r="A52" s="1" t="s">
        <v>66</v>
      </c>
      <c r="B52" s="7">
        <v>80.0</v>
      </c>
      <c r="C52" s="7">
        <v>52.0</v>
      </c>
      <c r="D52" s="7">
        <v>81.0</v>
      </c>
      <c r="E52" s="2">
        <v>161.0</v>
      </c>
      <c r="F52" s="8">
        <f t="shared" si="1"/>
        <v>2</v>
      </c>
      <c r="G52" s="8">
        <f t="shared" si="2"/>
        <v>-3</v>
      </c>
      <c r="H52" s="9">
        <f t="shared" si="3"/>
        <v>-3</v>
      </c>
      <c r="I52" s="9">
        <f t="shared" si="4"/>
        <v>-1</v>
      </c>
      <c r="J52" s="9">
        <f t="shared" si="5"/>
        <v>-5</v>
      </c>
      <c r="K52" s="9">
        <f t="shared" si="6"/>
        <v>5</v>
      </c>
      <c r="L52" s="10">
        <f t="shared" si="7"/>
        <v>-1.234567901</v>
      </c>
      <c r="M52" s="11">
        <f t="shared" si="8"/>
        <v>0.5480769231</v>
      </c>
      <c r="N52" s="12">
        <f t="shared" si="9"/>
        <v>0.5637379798</v>
      </c>
      <c r="O52" s="13">
        <f t="shared" si="10"/>
        <v>117.45</v>
      </c>
      <c r="P52" s="14">
        <f t="shared" si="11"/>
        <v>21.45</v>
      </c>
    </row>
    <row r="53">
      <c r="A53" s="1" t="s">
        <v>67</v>
      </c>
      <c r="B53" s="7">
        <v>82.0</v>
      </c>
      <c r="C53" s="7">
        <v>53.0</v>
      </c>
      <c r="D53" s="7">
        <v>81.0</v>
      </c>
      <c r="E53" s="2">
        <v>163.0</v>
      </c>
      <c r="F53" s="8">
        <f t="shared" si="1"/>
        <v>4</v>
      </c>
      <c r="G53" s="8">
        <f t="shared" si="2"/>
        <v>-1</v>
      </c>
      <c r="H53" s="9">
        <f t="shared" si="3"/>
        <v>-2</v>
      </c>
      <c r="I53" s="9">
        <f t="shared" si="4"/>
        <v>-1</v>
      </c>
      <c r="J53" s="9">
        <f t="shared" si="5"/>
        <v>-5</v>
      </c>
      <c r="K53" s="9">
        <f t="shared" si="6"/>
        <v>5</v>
      </c>
      <c r="L53" s="10">
        <f t="shared" si="7"/>
        <v>1.234567901</v>
      </c>
      <c r="M53" s="11">
        <f t="shared" si="8"/>
        <v>0.5377358491</v>
      </c>
      <c r="N53" s="12">
        <f t="shared" si="9"/>
        <v>0.5555863688</v>
      </c>
      <c r="O53" s="13">
        <f t="shared" si="10"/>
        <v>113.4</v>
      </c>
      <c r="P53" s="14">
        <f t="shared" si="11"/>
        <v>21.4</v>
      </c>
    </row>
    <row r="54">
      <c r="A54" s="1" t="s">
        <v>68</v>
      </c>
      <c r="B54" s="7">
        <v>91.0</v>
      </c>
      <c r="C54" s="7">
        <v>57.0</v>
      </c>
      <c r="D54" s="7">
        <v>87.0</v>
      </c>
      <c r="E54" s="2">
        <v>154.0</v>
      </c>
      <c r="F54" s="8">
        <f t="shared" si="1"/>
        <v>-5</v>
      </c>
      <c r="G54" s="8">
        <f t="shared" si="2"/>
        <v>8</v>
      </c>
      <c r="H54" s="9">
        <f t="shared" si="3"/>
        <v>2</v>
      </c>
      <c r="I54" s="9">
        <f t="shared" si="4"/>
        <v>5</v>
      </c>
      <c r="J54" s="9">
        <f t="shared" si="5"/>
        <v>13</v>
      </c>
      <c r="K54" s="9">
        <f t="shared" si="6"/>
        <v>-13</v>
      </c>
      <c r="L54" s="10">
        <f t="shared" si="7"/>
        <v>4.597701149</v>
      </c>
      <c r="M54" s="11">
        <f t="shared" si="8"/>
        <v>0.5614035088</v>
      </c>
      <c r="N54" s="12">
        <f t="shared" si="9"/>
        <v>0.8175706904</v>
      </c>
      <c r="O54" s="13">
        <f t="shared" si="10"/>
        <v>130.5</v>
      </c>
      <c r="P54" s="14">
        <f t="shared" si="11"/>
        <v>20.5</v>
      </c>
    </row>
    <row r="55">
      <c r="A55" s="1" t="s">
        <v>69</v>
      </c>
      <c r="B55" s="7">
        <v>95.0</v>
      </c>
      <c r="C55" s="7">
        <v>63.0</v>
      </c>
      <c r="D55" s="7">
        <v>87.0</v>
      </c>
      <c r="E55" s="2">
        <v>167.0</v>
      </c>
      <c r="F55" s="8">
        <f t="shared" si="1"/>
        <v>8</v>
      </c>
      <c r="G55" s="8">
        <f t="shared" si="2"/>
        <v>12</v>
      </c>
      <c r="H55" s="9">
        <f t="shared" si="3"/>
        <v>8</v>
      </c>
      <c r="I55" s="9">
        <f t="shared" si="4"/>
        <v>5</v>
      </c>
      <c r="J55" s="9">
        <f t="shared" si="5"/>
        <v>-20</v>
      </c>
      <c r="K55" s="9">
        <f t="shared" si="6"/>
        <v>-20</v>
      </c>
      <c r="L55" s="10">
        <f t="shared" si="7"/>
        <v>9.195402299</v>
      </c>
      <c r="M55" s="11">
        <f t="shared" si="8"/>
        <v>0.4444444444</v>
      </c>
      <c r="N55" s="12">
        <f t="shared" si="9"/>
        <v>0.7246434379</v>
      </c>
      <c r="O55" s="13">
        <f t="shared" si="10"/>
        <v>104.4</v>
      </c>
      <c r="P55" s="14">
        <f t="shared" si="11"/>
        <v>20.4</v>
      </c>
    </row>
    <row r="56">
      <c r="A56" s="1" t="s">
        <v>70</v>
      </c>
      <c r="B56" s="7">
        <v>83.0</v>
      </c>
      <c r="C56" s="7">
        <v>56.0</v>
      </c>
      <c r="D56" s="7">
        <v>84.0</v>
      </c>
      <c r="E56" s="2">
        <v>160.0</v>
      </c>
      <c r="F56" s="8">
        <f t="shared" si="1"/>
        <v>1</v>
      </c>
      <c r="G56" s="8">
        <f t="shared" si="2"/>
        <v>0</v>
      </c>
      <c r="H56" s="9">
        <f t="shared" si="3"/>
        <v>1</v>
      </c>
      <c r="I56" s="9">
        <f t="shared" si="4"/>
        <v>2</v>
      </c>
      <c r="J56" s="9">
        <f t="shared" si="5"/>
        <v>-1</v>
      </c>
      <c r="K56" s="9">
        <f t="shared" si="6"/>
        <v>-1</v>
      </c>
      <c r="L56" s="10">
        <f t="shared" si="7"/>
        <v>-1.19047619</v>
      </c>
      <c r="M56" s="11">
        <f t="shared" si="8"/>
        <v>0.4910714286</v>
      </c>
      <c r="N56" s="12">
        <f t="shared" si="9"/>
        <v>0.669921875</v>
      </c>
      <c r="O56" s="13">
        <f t="shared" si="10"/>
        <v>117.6</v>
      </c>
      <c r="P56" s="14">
        <f t="shared" si="11"/>
        <v>19.6</v>
      </c>
    </row>
    <row r="57">
      <c r="A57" s="1" t="s">
        <v>71</v>
      </c>
      <c r="B57" s="7">
        <v>92.0</v>
      </c>
      <c r="C57" s="7">
        <v>61.0</v>
      </c>
      <c r="D57" s="7">
        <v>86.0</v>
      </c>
      <c r="E57" s="2">
        <v>165.0</v>
      </c>
      <c r="F57" s="8">
        <f t="shared" si="1"/>
        <v>6</v>
      </c>
      <c r="G57" s="8">
        <f t="shared" si="2"/>
        <v>9</v>
      </c>
      <c r="H57" s="9">
        <f t="shared" si="3"/>
        <v>6</v>
      </c>
      <c r="I57" s="9">
        <f t="shared" si="4"/>
        <v>4</v>
      </c>
      <c r="J57" s="9">
        <f t="shared" si="5"/>
        <v>-15</v>
      </c>
      <c r="K57" s="9">
        <f t="shared" si="6"/>
        <v>-15</v>
      </c>
      <c r="L57" s="10">
        <f t="shared" si="7"/>
        <v>6.976744186</v>
      </c>
      <c r="M57" s="11">
        <f t="shared" si="8"/>
        <v>0.4590163934</v>
      </c>
      <c r="N57" s="12">
        <f t="shared" si="9"/>
        <v>0.7071314801</v>
      </c>
      <c r="O57" s="13">
        <f t="shared" si="10"/>
        <v>107.5</v>
      </c>
      <c r="P57" s="14">
        <f t="shared" si="11"/>
        <v>19.5</v>
      </c>
    </row>
    <row r="58">
      <c r="A58" s="1" t="s">
        <v>72</v>
      </c>
      <c r="B58" s="7">
        <v>83.0</v>
      </c>
      <c r="C58" s="7">
        <v>58.0</v>
      </c>
      <c r="D58" s="7">
        <v>84.0</v>
      </c>
      <c r="E58" s="2">
        <v>164.0</v>
      </c>
      <c r="F58" s="8">
        <f t="shared" si="1"/>
        <v>5</v>
      </c>
      <c r="G58" s="8">
        <f t="shared" si="2"/>
        <v>0</v>
      </c>
      <c r="H58" s="9">
        <f t="shared" si="3"/>
        <v>3</v>
      </c>
      <c r="I58" s="9">
        <f t="shared" si="4"/>
        <v>2</v>
      </c>
      <c r="J58" s="9">
        <f t="shared" si="5"/>
        <v>-5</v>
      </c>
      <c r="K58" s="9">
        <f t="shared" si="6"/>
        <v>-5</v>
      </c>
      <c r="L58" s="10">
        <f t="shared" si="7"/>
        <v>-1.19047619</v>
      </c>
      <c r="M58" s="11">
        <f t="shared" si="8"/>
        <v>0.4396551724</v>
      </c>
      <c r="N58" s="12">
        <f t="shared" si="9"/>
        <v>0.6491327027</v>
      </c>
      <c r="O58" s="13">
        <f t="shared" si="10"/>
        <v>109.2</v>
      </c>
      <c r="P58" s="14">
        <f t="shared" si="11"/>
        <v>19.2</v>
      </c>
    </row>
    <row r="59">
      <c r="A59" s="1" t="s">
        <v>73</v>
      </c>
      <c r="B59" s="7">
        <v>82.0</v>
      </c>
      <c r="C59" s="7">
        <v>57.0</v>
      </c>
      <c r="D59" s="7">
        <v>82.0</v>
      </c>
      <c r="E59" s="2">
        <v>167.0</v>
      </c>
      <c r="F59" s="8">
        <f t="shared" si="1"/>
        <v>8</v>
      </c>
      <c r="G59" s="8">
        <f t="shared" si="2"/>
        <v>-1</v>
      </c>
      <c r="H59" s="9">
        <f t="shared" si="3"/>
        <v>2</v>
      </c>
      <c r="I59" s="9">
        <f t="shared" si="4"/>
        <v>0</v>
      </c>
      <c r="J59" s="9">
        <f t="shared" si="5"/>
        <v>-9</v>
      </c>
      <c r="K59" s="9">
        <f t="shared" si="6"/>
        <v>9</v>
      </c>
      <c r="L59" s="10">
        <f t="shared" si="7"/>
        <v>0</v>
      </c>
      <c r="M59" s="11">
        <f t="shared" si="8"/>
        <v>0.4385964912</v>
      </c>
      <c r="N59" s="12">
        <f t="shared" si="9"/>
        <v>0.5766270178</v>
      </c>
      <c r="O59" s="13">
        <f t="shared" si="10"/>
        <v>102.5</v>
      </c>
      <c r="P59" s="14">
        <f t="shared" si="11"/>
        <v>18.5</v>
      </c>
    </row>
    <row r="60">
      <c r="A60" s="1" t="s">
        <v>74</v>
      </c>
      <c r="B60" s="7">
        <v>81.0</v>
      </c>
      <c r="C60" s="7">
        <v>59.0</v>
      </c>
      <c r="D60" s="7">
        <v>82.0</v>
      </c>
      <c r="E60" s="2">
        <v>171.0</v>
      </c>
      <c r="F60" s="8">
        <f t="shared" si="1"/>
        <v>12</v>
      </c>
      <c r="G60" s="8">
        <f t="shared" si="2"/>
        <v>-2</v>
      </c>
      <c r="H60" s="9">
        <f t="shared" si="3"/>
        <v>4</v>
      </c>
      <c r="I60" s="9">
        <f t="shared" si="4"/>
        <v>0</v>
      </c>
      <c r="J60" s="9">
        <f t="shared" si="5"/>
        <v>-14</v>
      </c>
      <c r="K60" s="9">
        <f t="shared" si="6"/>
        <v>14</v>
      </c>
      <c r="L60" s="10">
        <f t="shared" si="7"/>
        <v>-1.219512195</v>
      </c>
      <c r="M60" s="11">
        <f t="shared" si="8"/>
        <v>0.3813559322</v>
      </c>
      <c r="N60" s="12">
        <f t="shared" si="9"/>
        <v>0.5606205418</v>
      </c>
      <c r="O60" s="13">
        <f t="shared" si="10"/>
        <v>94.3</v>
      </c>
      <c r="P60" s="14">
        <f t="shared" si="11"/>
        <v>18.3</v>
      </c>
    </row>
    <row r="61">
      <c r="A61" s="1" t="s">
        <v>75</v>
      </c>
      <c r="B61" s="7">
        <v>91.0</v>
      </c>
      <c r="C61" s="7">
        <v>58.0</v>
      </c>
      <c r="D61" s="7">
        <v>85.0</v>
      </c>
      <c r="E61" s="2">
        <v>160.0</v>
      </c>
      <c r="F61" s="8">
        <f t="shared" si="1"/>
        <v>1</v>
      </c>
      <c r="G61" s="8">
        <f t="shared" si="2"/>
        <v>8</v>
      </c>
      <c r="H61" s="9">
        <f t="shared" si="3"/>
        <v>3</v>
      </c>
      <c r="I61" s="9">
        <f t="shared" si="4"/>
        <v>3</v>
      </c>
      <c r="J61" s="9">
        <f t="shared" si="5"/>
        <v>-9</v>
      </c>
      <c r="K61" s="9">
        <f t="shared" si="6"/>
        <v>-9</v>
      </c>
      <c r="L61" s="10">
        <f t="shared" si="7"/>
        <v>7.058823529</v>
      </c>
      <c r="M61" s="11">
        <f t="shared" si="8"/>
        <v>0.5172413793</v>
      </c>
      <c r="N61" s="12">
        <f t="shared" si="9"/>
        <v>0.7139177246</v>
      </c>
      <c r="O61" s="13">
        <f t="shared" si="10"/>
        <v>114.75</v>
      </c>
      <c r="P61" s="14">
        <f t="shared" si="11"/>
        <v>16.75</v>
      </c>
    </row>
    <row r="62">
      <c r="A62" s="1" t="s">
        <v>76</v>
      </c>
      <c r="B62" s="7">
        <v>84.0</v>
      </c>
      <c r="C62" s="7">
        <v>58.0</v>
      </c>
      <c r="D62" s="7">
        <v>82.0</v>
      </c>
      <c r="E62" s="2">
        <v>168.0</v>
      </c>
      <c r="F62" s="8">
        <f t="shared" si="1"/>
        <v>9</v>
      </c>
      <c r="G62" s="8">
        <f t="shared" si="2"/>
        <v>1</v>
      </c>
      <c r="H62" s="9">
        <f t="shared" si="3"/>
        <v>3</v>
      </c>
      <c r="I62" s="9">
        <f t="shared" si="4"/>
        <v>0</v>
      </c>
      <c r="J62" s="9">
        <f t="shared" si="5"/>
        <v>-10</v>
      </c>
      <c r="K62" s="9">
        <f t="shared" si="6"/>
        <v>-10</v>
      </c>
      <c r="L62" s="10">
        <f t="shared" si="7"/>
        <v>2.43902439</v>
      </c>
      <c r="M62" s="11">
        <f t="shared" si="8"/>
        <v>0.4310344828</v>
      </c>
      <c r="N62" s="12">
        <f t="shared" si="9"/>
        <v>0.5787037037</v>
      </c>
      <c r="O62" s="13">
        <f t="shared" si="10"/>
        <v>98.4</v>
      </c>
      <c r="P62" s="14">
        <f t="shared" si="11"/>
        <v>16.4</v>
      </c>
    </row>
    <row r="63">
      <c r="A63" s="1" t="s">
        <v>77</v>
      </c>
      <c r="B63" s="7">
        <v>77.0</v>
      </c>
      <c r="C63" s="7">
        <v>53.0</v>
      </c>
      <c r="D63" s="7">
        <v>84.0</v>
      </c>
      <c r="E63" s="2">
        <v>152.0</v>
      </c>
      <c r="F63" s="8">
        <f t="shared" si="1"/>
        <v>-7</v>
      </c>
      <c r="G63" s="8">
        <f t="shared" si="2"/>
        <v>-6</v>
      </c>
      <c r="H63" s="9">
        <f t="shared" si="3"/>
        <v>-2</v>
      </c>
      <c r="I63" s="9">
        <f t="shared" si="4"/>
        <v>2</v>
      </c>
      <c r="J63" s="9">
        <f t="shared" si="5"/>
        <v>-13</v>
      </c>
      <c r="K63" s="9">
        <f t="shared" si="6"/>
        <v>-13</v>
      </c>
      <c r="L63" s="10">
        <f t="shared" si="7"/>
        <v>-8.333333333</v>
      </c>
      <c r="M63" s="11">
        <f t="shared" si="8"/>
        <v>0.5188679245</v>
      </c>
      <c r="N63" s="12">
        <f t="shared" si="9"/>
        <v>0.7322020452</v>
      </c>
      <c r="O63" s="13">
        <f t="shared" si="10"/>
        <v>130.2</v>
      </c>
      <c r="P63" s="14">
        <f t="shared" si="11"/>
        <v>16.2</v>
      </c>
    </row>
    <row r="64">
      <c r="A64" s="1" t="s">
        <v>78</v>
      </c>
      <c r="B64" s="7">
        <v>88.0</v>
      </c>
      <c r="C64" s="7">
        <v>57.0</v>
      </c>
      <c r="D64" s="7">
        <v>85.0</v>
      </c>
      <c r="E64" s="2">
        <v>157.0</v>
      </c>
      <c r="F64" s="8">
        <f t="shared" si="1"/>
        <v>-2</v>
      </c>
      <c r="G64" s="8">
        <f t="shared" si="2"/>
        <v>5</v>
      </c>
      <c r="H64" s="9">
        <f t="shared" si="3"/>
        <v>2</v>
      </c>
      <c r="I64" s="9">
        <f t="shared" si="4"/>
        <v>3</v>
      </c>
      <c r="J64" s="9">
        <f t="shared" si="5"/>
        <v>7</v>
      </c>
      <c r="K64" s="9">
        <f t="shared" si="6"/>
        <v>-7</v>
      </c>
      <c r="L64" s="10">
        <f t="shared" si="7"/>
        <v>3.529411765</v>
      </c>
      <c r="M64" s="11">
        <f t="shared" si="8"/>
        <v>0.5175438596</v>
      </c>
      <c r="N64" s="12">
        <f t="shared" si="9"/>
        <v>0.7398881571</v>
      </c>
      <c r="O64" s="13">
        <f t="shared" si="10"/>
        <v>119</v>
      </c>
      <c r="P64" s="14">
        <f t="shared" si="11"/>
        <v>15</v>
      </c>
    </row>
    <row r="65">
      <c r="A65" s="1" t="s">
        <v>79</v>
      </c>
      <c r="B65" s="7">
        <v>90.0</v>
      </c>
      <c r="C65" s="7">
        <v>56.0</v>
      </c>
      <c r="D65" s="7">
        <v>82.0</v>
      </c>
      <c r="E65" s="2">
        <v>163.0</v>
      </c>
      <c r="F65" s="8">
        <f t="shared" si="1"/>
        <v>4</v>
      </c>
      <c r="G65" s="8">
        <f t="shared" si="2"/>
        <v>7</v>
      </c>
      <c r="H65" s="9">
        <f t="shared" si="3"/>
        <v>1</v>
      </c>
      <c r="I65" s="9">
        <f t="shared" si="4"/>
        <v>0</v>
      </c>
      <c r="J65" s="9">
        <f t="shared" si="5"/>
        <v>-11</v>
      </c>
      <c r="K65" s="9">
        <f t="shared" si="6"/>
        <v>-11</v>
      </c>
      <c r="L65" s="10">
        <f t="shared" si="7"/>
        <v>9.756097561</v>
      </c>
      <c r="M65" s="11">
        <f t="shared" si="8"/>
        <v>0.5357142857</v>
      </c>
      <c r="N65" s="12">
        <f t="shared" si="9"/>
        <v>0.6068403442</v>
      </c>
      <c r="O65" s="13">
        <f t="shared" si="10"/>
        <v>106.6</v>
      </c>
      <c r="P65" s="14">
        <f t="shared" si="11"/>
        <v>14.6</v>
      </c>
    </row>
    <row r="66">
      <c r="A66" s="1" t="s">
        <v>80</v>
      </c>
      <c r="B66" s="7">
        <v>83.0</v>
      </c>
      <c r="C66" s="7">
        <v>55.0</v>
      </c>
      <c r="D66" s="7">
        <v>83.0</v>
      </c>
      <c r="E66" s="2">
        <v>158.0</v>
      </c>
      <c r="F66" s="8">
        <f t="shared" si="1"/>
        <v>-1</v>
      </c>
      <c r="G66" s="8">
        <f t="shared" si="2"/>
        <v>0</v>
      </c>
      <c r="H66" s="9">
        <f t="shared" si="3"/>
        <v>0</v>
      </c>
      <c r="I66" s="9">
        <f t="shared" si="4"/>
        <v>1</v>
      </c>
      <c r="J66" s="9">
        <f t="shared" si="5"/>
        <v>-1</v>
      </c>
      <c r="K66" s="9">
        <f t="shared" si="6"/>
        <v>-1</v>
      </c>
      <c r="L66" s="10">
        <f t="shared" si="7"/>
        <v>0</v>
      </c>
      <c r="M66" s="11">
        <f t="shared" si="8"/>
        <v>0.5090909091</v>
      </c>
      <c r="N66" s="12">
        <f t="shared" si="9"/>
        <v>0.6662941471</v>
      </c>
      <c r="O66" s="13">
        <f t="shared" si="10"/>
        <v>116.2</v>
      </c>
      <c r="P66" s="14">
        <f t="shared" si="11"/>
        <v>14.2</v>
      </c>
    </row>
    <row r="67">
      <c r="A67" s="1" t="s">
        <v>81</v>
      </c>
      <c r="B67" s="7">
        <v>84.0</v>
      </c>
      <c r="C67" s="7">
        <v>55.0</v>
      </c>
      <c r="D67" s="7">
        <v>80.0</v>
      </c>
      <c r="E67" s="2">
        <v>166.0</v>
      </c>
      <c r="F67" s="8">
        <f t="shared" si="1"/>
        <v>7</v>
      </c>
      <c r="G67" s="8">
        <f t="shared" si="2"/>
        <v>1</v>
      </c>
      <c r="H67" s="9">
        <f t="shared" si="3"/>
        <v>0</v>
      </c>
      <c r="I67" s="9">
        <f t="shared" si="4"/>
        <v>-2</v>
      </c>
      <c r="J67" s="9">
        <f t="shared" si="5"/>
        <v>-8</v>
      </c>
      <c r="K67" s="9">
        <f t="shared" si="6"/>
        <v>-8</v>
      </c>
      <c r="L67" s="10">
        <f t="shared" si="7"/>
        <v>5</v>
      </c>
      <c r="M67" s="11">
        <f t="shared" si="8"/>
        <v>0.4909090909</v>
      </c>
      <c r="N67" s="12">
        <f t="shared" si="9"/>
        <v>0.5378696525</v>
      </c>
      <c r="O67" s="13">
        <f t="shared" si="10"/>
        <v>100</v>
      </c>
      <c r="P67" s="14">
        <f t="shared" si="11"/>
        <v>14</v>
      </c>
    </row>
    <row r="68">
      <c r="A68" s="1" t="s">
        <v>82</v>
      </c>
      <c r="B68" s="7">
        <v>82.0</v>
      </c>
      <c r="C68" s="7">
        <v>56.0</v>
      </c>
      <c r="D68" s="7">
        <v>84.0</v>
      </c>
      <c r="E68" s="2">
        <v>157.0</v>
      </c>
      <c r="F68" s="8">
        <f t="shared" si="1"/>
        <v>-2</v>
      </c>
      <c r="G68" s="8">
        <f t="shared" si="2"/>
        <v>-1</v>
      </c>
      <c r="H68" s="9">
        <f t="shared" si="3"/>
        <v>1</v>
      </c>
      <c r="I68" s="9">
        <f t="shared" si="4"/>
        <v>2</v>
      </c>
      <c r="J68" s="9">
        <f t="shared" si="5"/>
        <v>-3</v>
      </c>
      <c r="K68" s="9">
        <f t="shared" si="6"/>
        <v>-3</v>
      </c>
      <c r="L68" s="10">
        <f t="shared" si="7"/>
        <v>-2.380952381</v>
      </c>
      <c r="M68" s="11">
        <f t="shared" si="8"/>
        <v>0.4821428571</v>
      </c>
      <c r="N68" s="12">
        <f t="shared" si="9"/>
        <v>0.7090635322</v>
      </c>
      <c r="O68" s="13">
        <f t="shared" si="10"/>
        <v>117.6</v>
      </c>
      <c r="P68" s="14">
        <f t="shared" si="11"/>
        <v>13.6</v>
      </c>
    </row>
    <row r="69">
      <c r="A69" s="1" t="s">
        <v>83</v>
      </c>
      <c r="B69" s="7">
        <v>85.0</v>
      </c>
      <c r="C69" s="7">
        <v>55.0</v>
      </c>
      <c r="D69" s="7">
        <v>83.0</v>
      </c>
      <c r="E69" s="2">
        <v>157.0</v>
      </c>
      <c r="F69" s="8">
        <f t="shared" si="1"/>
        <v>-2</v>
      </c>
      <c r="G69" s="8">
        <f t="shared" si="2"/>
        <v>2</v>
      </c>
      <c r="H69" s="9">
        <f t="shared" si="3"/>
        <v>0</v>
      </c>
      <c r="I69" s="9">
        <f t="shared" si="4"/>
        <v>1</v>
      </c>
      <c r="J69" s="9">
        <f t="shared" si="5"/>
        <v>4</v>
      </c>
      <c r="K69" s="9">
        <f t="shared" si="6"/>
        <v>-4</v>
      </c>
      <c r="L69" s="10">
        <f t="shared" si="7"/>
        <v>2.409638554</v>
      </c>
      <c r="M69" s="11">
        <f t="shared" si="8"/>
        <v>0.5272727273</v>
      </c>
      <c r="N69" s="12">
        <f t="shared" si="9"/>
        <v>0.6791071484</v>
      </c>
      <c r="O69" s="13">
        <f t="shared" si="10"/>
        <v>116.2</v>
      </c>
      <c r="P69" s="14">
        <f t="shared" si="11"/>
        <v>12.2</v>
      </c>
    </row>
    <row r="70">
      <c r="A70" s="1" t="s">
        <v>84</v>
      </c>
      <c r="B70" s="7">
        <v>81.0</v>
      </c>
      <c r="C70" s="7">
        <v>56.0</v>
      </c>
      <c r="D70" s="7">
        <v>83.0</v>
      </c>
      <c r="E70" s="2">
        <v>159.0</v>
      </c>
      <c r="F70" s="8">
        <f t="shared" si="1"/>
        <v>0</v>
      </c>
      <c r="G70" s="8">
        <f t="shared" si="2"/>
        <v>-2</v>
      </c>
      <c r="H70" s="9">
        <f t="shared" si="3"/>
        <v>1</v>
      </c>
      <c r="I70" s="9">
        <f t="shared" si="4"/>
        <v>1</v>
      </c>
      <c r="J70" s="9">
        <f t="shared" si="5"/>
        <v>-2</v>
      </c>
      <c r="K70" s="9">
        <f t="shared" si="6"/>
        <v>-2</v>
      </c>
      <c r="L70" s="10">
        <f t="shared" si="7"/>
        <v>-2.409638554</v>
      </c>
      <c r="M70" s="11">
        <f t="shared" si="8"/>
        <v>0.4642857143</v>
      </c>
      <c r="N70" s="12">
        <f t="shared" si="9"/>
        <v>0.6681177776</v>
      </c>
      <c r="O70" s="13">
        <f t="shared" si="10"/>
        <v>112.05</v>
      </c>
      <c r="P70" s="14">
        <f t="shared" si="11"/>
        <v>12.05</v>
      </c>
    </row>
    <row r="71">
      <c r="A71" s="1" t="s">
        <v>85</v>
      </c>
      <c r="B71" s="7">
        <v>82.0</v>
      </c>
      <c r="C71" s="7">
        <v>55.0</v>
      </c>
      <c r="D71" s="7">
        <v>80.0</v>
      </c>
      <c r="E71" s="2">
        <v>165.0</v>
      </c>
      <c r="F71" s="8">
        <f t="shared" si="1"/>
        <v>6</v>
      </c>
      <c r="G71" s="8">
        <f t="shared" si="2"/>
        <v>-1</v>
      </c>
      <c r="H71" s="9">
        <f t="shared" si="3"/>
        <v>0</v>
      </c>
      <c r="I71" s="9">
        <f t="shared" si="4"/>
        <v>-2</v>
      </c>
      <c r="J71" s="9">
        <f t="shared" si="5"/>
        <v>-7</v>
      </c>
      <c r="K71" s="9">
        <f t="shared" si="6"/>
        <v>7</v>
      </c>
      <c r="L71" s="10">
        <f t="shared" si="7"/>
        <v>2.5</v>
      </c>
      <c r="M71" s="11">
        <f t="shared" si="8"/>
        <v>0.4727272727</v>
      </c>
      <c r="N71" s="12">
        <f t="shared" si="9"/>
        <v>0.5477084899</v>
      </c>
      <c r="O71" s="13">
        <f t="shared" si="10"/>
        <v>100</v>
      </c>
      <c r="P71" s="14">
        <f t="shared" si="11"/>
        <v>12</v>
      </c>
    </row>
    <row r="72">
      <c r="A72" s="1" t="s">
        <v>86</v>
      </c>
      <c r="B72" s="7">
        <v>80.0</v>
      </c>
      <c r="C72" s="7">
        <v>55.0</v>
      </c>
      <c r="D72" s="7">
        <v>83.0</v>
      </c>
      <c r="E72" s="2">
        <v>156.0</v>
      </c>
      <c r="F72" s="8">
        <f t="shared" si="1"/>
        <v>-3</v>
      </c>
      <c r="G72" s="8">
        <f t="shared" si="2"/>
        <v>-3</v>
      </c>
      <c r="H72" s="9">
        <f t="shared" si="3"/>
        <v>0</v>
      </c>
      <c r="I72" s="9">
        <f t="shared" si="4"/>
        <v>1</v>
      </c>
      <c r="J72" s="9">
        <f t="shared" si="5"/>
        <v>-6</v>
      </c>
      <c r="K72" s="9">
        <f t="shared" si="6"/>
        <v>-6</v>
      </c>
      <c r="L72" s="10">
        <f t="shared" si="7"/>
        <v>-3.614457831</v>
      </c>
      <c r="M72" s="11">
        <f t="shared" si="8"/>
        <v>0.4818181818</v>
      </c>
      <c r="N72" s="12">
        <f t="shared" si="9"/>
        <v>0.6922507965</v>
      </c>
      <c r="O72" s="13">
        <f t="shared" si="10"/>
        <v>116.2</v>
      </c>
      <c r="P72" s="14">
        <f t="shared" si="11"/>
        <v>10.2</v>
      </c>
    </row>
    <row r="73">
      <c r="A73" s="1" t="s">
        <v>87</v>
      </c>
      <c r="B73" s="7">
        <v>79.0</v>
      </c>
      <c r="C73" s="7">
        <v>56.0</v>
      </c>
      <c r="D73" s="7">
        <v>83.0</v>
      </c>
      <c r="E73" s="2">
        <v>158.0</v>
      </c>
      <c r="F73" s="8">
        <f t="shared" si="1"/>
        <v>-1</v>
      </c>
      <c r="G73" s="8">
        <f t="shared" si="2"/>
        <v>-4</v>
      </c>
      <c r="H73" s="9">
        <f t="shared" si="3"/>
        <v>1</v>
      </c>
      <c r="I73" s="9">
        <f t="shared" si="4"/>
        <v>1</v>
      </c>
      <c r="J73" s="9">
        <f t="shared" si="5"/>
        <v>-5</v>
      </c>
      <c r="K73" s="9">
        <f t="shared" si="6"/>
        <v>-5</v>
      </c>
      <c r="L73" s="10">
        <f t="shared" si="7"/>
        <v>-4.819277108</v>
      </c>
      <c r="M73" s="11">
        <f t="shared" si="8"/>
        <v>0.4464285714</v>
      </c>
      <c r="N73" s="12">
        <f t="shared" si="9"/>
        <v>0.6808840173</v>
      </c>
      <c r="O73" s="13">
        <f t="shared" si="10"/>
        <v>112.05</v>
      </c>
      <c r="P73" s="14">
        <f t="shared" si="11"/>
        <v>10.05</v>
      </c>
    </row>
    <row r="74">
      <c r="A74" s="1" t="s">
        <v>88</v>
      </c>
      <c r="B74" s="7">
        <v>82.0</v>
      </c>
      <c r="C74" s="7">
        <v>51.0</v>
      </c>
      <c r="D74" s="7">
        <v>80.0</v>
      </c>
      <c r="E74" s="2">
        <v>156.0</v>
      </c>
      <c r="F74" s="8">
        <f t="shared" si="1"/>
        <v>-3</v>
      </c>
      <c r="G74" s="8">
        <f t="shared" si="2"/>
        <v>-1</v>
      </c>
      <c r="H74" s="9">
        <f t="shared" si="3"/>
        <v>-4</v>
      </c>
      <c r="I74" s="9">
        <f t="shared" si="4"/>
        <v>-2</v>
      </c>
      <c r="J74" s="9">
        <f t="shared" si="5"/>
        <v>-4</v>
      </c>
      <c r="K74" s="9">
        <f t="shared" si="6"/>
        <v>-4</v>
      </c>
      <c r="L74" s="10">
        <f t="shared" si="7"/>
        <v>2.5</v>
      </c>
      <c r="M74" s="11">
        <f t="shared" si="8"/>
        <v>0.5882352941</v>
      </c>
      <c r="N74" s="12">
        <f t="shared" si="9"/>
        <v>0.5921613964</v>
      </c>
      <c r="O74" s="13">
        <f t="shared" si="10"/>
        <v>116</v>
      </c>
      <c r="P74" s="14">
        <f t="shared" si="11"/>
        <v>10</v>
      </c>
    </row>
    <row r="75">
      <c r="A75" s="1" t="s">
        <v>89</v>
      </c>
      <c r="B75" s="7">
        <v>78.0</v>
      </c>
      <c r="C75" s="7">
        <v>54.0</v>
      </c>
      <c r="D75" s="7">
        <v>80.0</v>
      </c>
      <c r="E75" s="2">
        <v>162.0</v>
      </c>
      <c r="F75" s="8">
        <f t="shared" si="1"/>
        <v>3</v>
      </c>
      <c r="G75" s="8">
        <f t="shared" si="2"/>
        <v>-5</v>
      </c>
      <c r="H75" s="9">
        <f t="shared" si="3"/>
        <v>-1</v>
      </c>
      <c r="I75" s="9">
        <f t="shared" si="4"/>
        <v>-2</v>
      </c>
      <c r="J75" s="9">
        <f t="shared" si="5"/>
        <v>-8</v>
      </c>
      <c r="K75" s="9">
        <f t="shared" si="6"/>
        <v>8</v>
      </c>
      <c r="L75" s="10">
        <f t="shared" si="7"/>
        <v>-2.5</v>
      </c>
      <c r="M75" s="11">
        <f t="shared" si="8"/>
        <v>0.462962963</v>
      </c>
      <c r="N75" s="12">
        <f t="shared" si="9"/>
        <v>0.5659386461</v>
      </c>
      <c r="O75" s="13">
        <f t="shared" si="10"/>
        <v>104</v>
      </c>
      <c r="P75" s="14">
        <f t="shared" si="11"/>
        <v>10</v>
      </c>
    </row>
    <row r="76">
      <c r="A76" s="1" t="s">
        <v>90</v>
      </c>
      <c r="B76" s="7">
        <v>78.0</v>
      </c>
      <c r="C76" s="7">
        <v>54.0</v>
      </c>
      <c r="D76" s="7">
        <v>81.0</v>
      </c>
      <c r="E76" s="2">
        <v>159.0</v>
      </c>
      <c r="F76" s="8">
        <f t="shared" si="1"/>
        <v>0</v>
      </c>
      <c r="G76" s="8">
        <f t="shared" si="2"/>
        <v>-5</v>
      </c>
      <c r="H76" s="9">
        <f t="shared" si="3"/>
        <v>-1</v>
      </c>
      <c r="I76" s="9">
        <f t="shared" si="4"/>
        <v>-1</v>
      </c>
      <c r="J76" s="9">
        <f t="shared" si="5"/>
        <v>-5</v>
      </c>
      <c r="K76" s="9">
        <f t="shared" si="6"/>
        <v>-5</v>
      </c>
      <c r="L76" s="10">
        <f t="shared" si="7"/>
        <v>-3.703703704</v>
      </c>
      <c r="M76" s="11">
        <f t="shared" si="8"/>
        <v>0.4722222222</v>
      </c>
      <c r="N76" s="12">
        <f t="shared" si="9"/>
        <v>0.6120824573</v>
      </c>
      <c r="O76" s="13">
        <f t="shared" si="10"/>
        <v>109.35</v>
      </c>
      <c r="P76" s="14">
        <f t="shared" si="11"/>
        <v>9.35</v>
      </c>
    </row>
    <row r="77">
      <c r="A77" s="1" t="s">
        <v>91</v>
      </c>
      <c r="B77" s="7">
        <v>80.0</v>
      </c>
      <c r="C77" s="7">
        <v>55.0</v>
      </c>
      <c r="D77" s="7">
        <v>82.0</v>
      </c>
      <c r="E77" s="2">
        <v>158.0</v>
      </c>
      <c r="F77" s="8">
        <f t="shared" si="1"/>
        <v>-1</v>
      </c>
      <c r="G77" s="8">
        <f t="shared" si="2"/>
        <v>-3</v>
      </c>
      <c r="H77" s="9">
        <f t="shared" si="3"/>
        <v>0</v>
      </c>
      <c r="I77" s="9">
        <f t="shared" si="4"/>
        <v>0</v>
      </c>
      <c r="J77" s="9">
        <f t="shared" si="5"/>
        <v>-4</v>
      </c>
      <c r="K77" s="9">
        <f t="shared" si="6"/>
        <v>-4</v>
      </c>
      <c r="L77" s="10">
        <f t="shared" si="7"/>
        <v>-2.43902439</v>
      </c>
      <c r="M77" s="11">
        <f t="shared" si="8"/>
        <v>0.4727272727</v>
      </c>
      <c r="N77" s="12">
        <f t="shared" si="9"/>
        <v>0.6519141995</v>
      </c>
      <c r="O77" s="13">
        <f t="shared" si="10"/>
        <v>110.7</v>
      </c>
      <c r="P77" s="14">
        <f t="shared" si="11"/>
        <v>8.7</v>
      </c>
    </row>
    <row r="78">
      <c r="A78" s="1" t="s">
        <v>92</v>
      </c>
      <c r="B78" s="7">
        <v>85.0</v>
      </c>
      <c r="C78" s="7">
        <v>62.0</v>
      </c>
      <c r="D78" s="7">
        <v>88.0</v>
      </c>
      <c r="E78" s="2">
        <v>156.0</v>
      </c>
      <c r="F78" s="8">
        <f t="shared" si="1"/>
        <v>-3</v>
      </c>
      <c r="G78" s="8">
        <f t="shared" si="2"/>
        <v>2</v>
      </c>
      <c r="H78" s="9">
        <f t="shared" si="3"/>
        <v>7</v>
      </c>
      <c r="I78" s="9">
        <f t="shared" si="4"/>
        <v>6</v>
      </c>
      <c r="J78" s="9">
        <f t="shared" si="5"/>
        <v>5</v>
      </c>
      <c r="K78" s="9">
        <f t="shared" si="6"/>
        <v>-5</v>
      </c>
      <c r="L78" s="10">
        <f t="shared" si="7"/>
        <v>-3.409090909</v>
      </c>
      <c r="M78" s="11">
        <f t="shared" si="8"/>
        <v>0.3951612903</v>
      </c>
      <c r="N78" s="12">
        <f t="shared" si="9"/>
        <v>0.8889963587</v>
      </c>
      <c r="O78" s="13">
        <f t="shared" si="10"/>
        <v>114.4</v>
      </c>
      <c r="P78" s="14">
        <f t="shared" si="11"/>
        <v>8.4</v>
      </c>
    </row>
    <row r="79">
      <c r="A79" s="1" t="s">
        <v>93</v>
      </c>
      <c r="B79" s="7">
        <v>83.0</v>
      </c>
      <c r="C79" s="7">
        <v>56.0</v>
      </c>
      <c r="D79" s="7">
        <v>81.0</v>
      </c>
      <c r="E79" s="2">
        <v>162.0</v>
      </c>
      <c r="F79" s="8">
        <f t="shared" si="1"/>
        <v>3</v>
      </c>
      <c r="G79" s="8">
        <f t="shared" si="2"/>
        <v>0</v>
      </c>
      <c r="H79" s="9">
        <f t="shared" si="3"/>
        <v>1</v>
      </c>
      <c r="I79" s="9">
        <f t="shared" si="4"/>
        <v>-1</v>
      </c>
      <c r="J79" s="9">
        <f t="shared" si="5"/>
        <v>-3</v>
      </c>
      <c r="K79" s="9">
        <f t="shared" si="6"/>
        <v>-3</v>
      </c>
      <c r="L79" s="10">
        <f t="shared" si="7"/>
        <v>2.469135802</v>
      </c>
      <c r="M79" s="11">
        <f t="shared" si="8"/>
        <v>0.4642857143</v>
      </c>
      <c r="N79" s="12">
        <f t="shared" si="9"/>
        <v>0.6048067895</v>
      </c>
      <c r="O79" s="13">
        <f t="shared" si="10"/>
        <v>101.25</v>
      </c>
      <c r="P79" s="14">
        <f t="shared" si="11"/>
        <v>7.25</v>
      </c>
    </row>
    <row r="80">
      <c r="A80" s="1" t="s">
        <v>94</v>
      </c>
      <c r="B80" s="7">
        <v>70.0</v>
      </c>
      <c r="C80" s="7">
        <v>53.0</v>
      </c>
      <c r="D80" s="7">
        <v>79.0</v>
      </c>
      <c r="E80" s="2">
        <v>161.0</v>
      </c>
      <c r="F80" s="8">
        <f t="shared" si="1"/>
        <v>2</v>
      </c>
      <c r="G80" s="8">
        <f t="shared" si="2"/>
        <v>-13</v>
      </c>
      <c r="H80" s="9">
        <f t="shared" si="3"/>
        <v>-2</v>
      </c>
      <c r="I80" s="9">
        <f t="shared" si="4"/>
        <v>-3</v>
      </c>
      <c r="J80" s="9">
        <f t="shared" si="5"/>
        <v>-15</v>
      </c>
      <c r="K80" s="9">
        <f t="shared" si="6"/>
        <v>15</v>
      </c>
      <c r="L80" s="10">
        <f t="shared" si="7"/>
        <v>-11.39240506</v>
      </c>
      <c r="M80" s="11">
        <f t="shared" si="8"/>
        <v>0.4056603774</v>
      </c>
      <c r="N80" s="12">
        <f t="shared" si="9"/>
        <v>0.5511174541</v>
      </c>
      <c r="O80" s="13">
        <f t="shared" si="10"/>
        <v>102.7</v>
      </c>
      <c r="P80" s="14">
        <f t="shared" si="11"/>
        <v>6.7</v>
      </c>
    </row>
    <row r="81">
      <c r="A81" s="1" t="s">
        <v>95</v>
      </c>
      <c r="B81" s="7">
        <v>83.0</v>
      </c>
      <c r="C81" s="7">
        <v>56.0</v>
      </c>
      <c r="D81" s="7">
        <v>82.0</v>
      </c>
      <c r="E81" s="2">
        <v>159.0</v>
      </c>
      <c r="F81" s="8">
        <f t="shared" si="1"/>
        <v>0</v>
      </c>
      <c r="G81" s="8">
        <f t="shared" si="2"/>
        <v>0</v>
      </c>
      <c r="H81" s="9">
        <f t="shared" si="3"/>
        <v>1</v>
      </c>
      <c r="I81" s="9">
        <f t="shared" si="4"/>
        <v>0</v>
      </c>
      <c r="J81" s="9">
        <f t="shared" si="5"/>
        <v>0</v>
      </c>
      <c r="K81" s="9">
        <f t="shared" si="6"/>
        <v>0</v>
      </c>
      <c r="L81" s="10">
        <f t="shared" si="7"/>
        <v>1.219512195</v>
      </c>
      <c r="M81" s="11">
        <f t="shared" si="8"/>
        <v>0.4732142857</v>
      </c>
      <c r="N81" s="12">
        <f t="shared" si="9"/>
        <v>0.6538014603</v>
      </c>
      <c r="O81" s="13">
        <f t="shared" si="10"/>
        <v>106.6</v>
      </c>
      <c r="P81" s="14">
        <f t="shared" si="11"/>
        <v>6.6</v>
      </c>
    </row>
    <row r="82">
      <c r="A82" s="1" t="s">
        <v>96</v>
      </c>
      <c r="B82" s="7">
        <v>85.0</v>
      </c>
      <c r="C82" s="7">
        <v>60.0</v>
      </c>
      <c r="D82" s="7">
        <v>85.0</v>
      </c>
      <c r="E82" s="2">
        <v>159.0</v>
      </c>
      <c r="F82" s="8">
        <f t="shared" si="1"/>
        <v>0</v>
      </c>
      <c r="G82" s="8">
        <f t="shared" si="2"/>
        <v>2</v>
      </c>
      <c r="H82" s="9">
        <f t="shared" si="3"/>
        <v>5</v>
      </c>
      <c r="I82" s="9">
        <f t="shared" si="4"/>
        <v>3</v>
      </c>
      <c r="J82" s="9">
        <f t="shared" si="5"/>
        <v>-2</v>
      </c>
      <c r="K82" s="9">
        <f t="shared" si="6"/>
        <v>-2</v>
      </c>
      <c r="L82" s="10">
        <f t="shared" si="7"/>
        <v>0</v>
      </c>
      <c r="M82" s="11">
        <f t="shared" si="8"/>
        <v>0.4166666667</v>
      </c>
      <c r="N82" s="12">
        <f t="shared" si="9"/>
        <v>0.7584249887</v>
      </c>
      <c r="O82" s="13">
        <f t="shared" si="10"/>
        <v>106.25</v>
      </c>
      <c r="P82" s="14">
        <f t="shared" si="11"/>
        <v>6.25</v>
      </c>
    </row>
    <row r="83">
      <c r="A83" s="1" t="s">
        <v>97</v>
      </c>
      <c r="B83" s="7">
        <v>83.0</v>
      </c>
      <c r="C83" s="7">
        <v>55.0</v>
      </c>
      <c r="D83" s="7">
        <v>81.0</v>
      </c>
      <c r="E83" s="2">
        <v>159.0</v>
      </c>
      <c r="F83" s="8">
        <f t="shared" si="1"/>
        <v>0</v>
      </c>
      <c r="G83" s="8">
        <f t="shared" si="2"/>
        <v>0</v>
      </c>
      <c r="H83" s="9">
        <f t="shared" si="3"/>
        <v>0</v>
      </c>
      <c r="I83" s="9">
        <f t="shared" si="4"/>
        <v>-1</v>
      </c>
      <c r="J83" s="9">
        <f t="shared" si="5"/>
        <v>0</v>
      </c>
      <c r="K83" s="9">
        <f t="shared" si="6"/>
        <v>0</v>
      </c>
      <c r="L83" s="10">
        <f t="shared" si="7"/>
        <v>2.469135802</v>
      </c>
      <c r="M83" s="11">
        <f t="shared" si="8"/>
        <v>0.4909090909</v>
      </c>
      <c r="N83" s="12">
        <f t="shared" si="9"/>
        <v>0.6257852928</v>
      </c>
      <c r="O83" s="13">
        <f t="shared" si="10"/>
        <v>105.3</v>
      </c>
      <c r="P83" s="14">
        <f t="shared" si="11"/>
        <v>5.3</v>
      </c>
    </row>
    <row r="84">
      <c r="A84" s="1" t="s">
        <v>98</v>
      </c>
      <c r="B84" s="7">
        <v>86.0</v>
      </c>
      <c r="C84" s="7">
        <v>57.0</v>
      </c>
      <c r="D84" s="7">
        <v>81.0</v>
      </c>
      <c r="E84" s="2">
        <v>163.0</v>
      </c>
      <c r="F84" s="8">
        <f t="shared" si="1"/>
        <v>4</v>
      </c>
      <c r="G84" s="8">
        <f t="shared" si="2"/>
        <v>3</v>
      </c>
      <c r="H84" s="9">
        <f t="shared" si="3"/>
        <v>2</v>
      </c>
      <c r="I84" s="9">
        <f t="shared" si="4"/>
        <v>-1</v>
      </c>
      <c r="J84" s="9">
        <f t="shared" si="5"/>
        <v>-7</v>
      </c>
      <c r="K84" s="9">
        <f t="shared" si="6"/>
        <v>-7</v>
      </c>
      <c r="L84" s="10">
        <f t="shared" si="7"/>
        <v>6.172839506</v>
      </c>
      <c r="M84" s="11">
        <f t="shared" si="8"/>
        <v>0.4649122807</v>
      </c>
      <c r="N84" s="12">
        <f t="shared" si="9"/>
        <v>0.6068403442</v>
      </c>
      <c r="O84" s="13">
        <f t="shared" si="10"/>
        <v>97.2</v>
      </c>
      <c r="P84" s="14">
        <f t="shared" si="11"/>
        <v>5.2</v>
      </c>
    </row>
    <row r="85">
      <c r="A85" s="1" t="s">
        <v>99</v>
      </c>
      <c r="B85" s="7">
        <v>77.0</v>
      </c>
      <c r="C85" s="7">
        <v>56.0</v>
      </c>
      <c r="D85" s="7">
        <v>79.0</v>
      </c>
      <c r="E85" s="2">
        <v>166.0</v>
      </c>
      <c r="F85" s="8">
        <f t="shared" si="1"/>
        <v>7</v>
      </c>
      <c r="G85" s="8">
        <f t="shared" si="2"/>
        <v>-6</v>
      </c>
      <c r="H85" s="9">
        <f t="shared" si="3"/>
        <v>1</v>
      </c>
      <c r="I85" s="9">
        <f t="shared" si="4"/>
        <v>-3</v>
      </c>
      <c r="J85" s="9">
        <f t="shared" si="5"/>
        <v>-13</v>
      </c>
      <c r="K85" s="9">
        <f t="shared" si="6"/>
        <v>13</v>
      </c>
      <c r="L85" s="10">
        <f t="shared" si="7"/>
        <v>-2.53164557</v>
      </c>
      <c r="M85" s="11">
        <f t="shared" si="8"/>
        <v>0.3928571429</v>
      </c>
      <c r="N85" s="12">
        <f t="shared" si="9"/>
        <v>0.5378696525</v>
      </c>
      <c r="O85" s="13">
        <f t="shared" si="10"/>
        <v>90.85</v>
      </c>
      <c r="P85" s="14">
        <f t="shared" si="11"/>
        <v>4.85</v>
      </c>
    </row>
    <row r="86">
      <c r="A86" s="1" t="s">
        <v>100</v>
      </c>
      <c r="B86" s="7">
        <v>95.0</v>
      </c>
      <c r="C86" s="7">
        <v>65.0</v>
      </c>
      <c r="D86" s="7">
        <v>89.0</v>
      </c>
      <c r="E86" s="2">
        <v>157.0</v>
      </c>
      <c r="F86" s="8">
        <f t="shared" si="1"/>
        <v>-2</v>
      </c>
      <c r="G86" s="8">
        <f t="shared" si="2"/>
        <v>12</v>
      </c>
      <c r="H86" s="9">
        <f t="shared" si="3"/>
        <v>10</v>
      </c>
      <c r="I86" s="9">
        <f t="shared" si="4"/>
        <v>7</v>
      </c>
      <c r="J86" s="9">
        <f t="shared" si="5"/>
        <v>14</v>
      </c>
      <c r="K86" s="9">
        <f t="shared" si="6"/>
        <v>-14</v>
      </c>
      <c r="L86" s="10">
        <f t="shared" si="7"/>
        <v>6.741573034</v>
      </c>
      <c r="M86" s="11">
        <f t="shared" si="8"/>
        <v>0.4153846154</v>
      </c>
      <c r="N86" s="12">
        <f t="shared" si="9"/>
        <v>0.9437635614</v>
      </c>
      <c r="O86" s="13">
        <f t="shared" si="10"/>
        <v>106.8</v>
      </c>
      <c r="P86" s="14">
        <f t="shared" si="11"/>
        <v>2.8</v>
      </c>
    </row>
    <row r="87">
      <c r="A87" s="1" t="s">
        <v>101</v>
      </c>
      <c r="B87" s="7">
        <v>76.0</v>
      </c>
      <c r="C87" s="7">
        <v>55.0</v>
      </c>
      <c r="D87" s="7">
        <v>78.0</v>
      </c>
      <c r="E87" s="2">
        <v>165.0</v>
      </c>
      <c r="F87" s="8">
        <f t="shared" si="1"/>
        <v>6</v>
      </c>
      <c r="G87" s="8">
        <f t="shared" si="2"/>
        <v>-7</v>
      </c>
      <c r="H87" s="9">
        <f t="shared" si="3"/>
        <v>0</v>
      </c>
      <c r="I87" s="9">
        <f t="shared" si="4"/>
        <v>-4</v>
      </c>
      <c r="J87" s="9">
        <f t="shared" si="5"/>
        <v>-13</v>
      </c>
      <c r="K87" s="9">
        <f t="shared" si="6"/>
        <v>13</v>
      </c>
      <c r="L87" s="10">
        <f t="shared" si="7"/>
        <v>-2.564102564</v>
      </c>
      <c r="M87" s="11">
        <f t="shared" si="8"/>
        <v>0.4</v>
      </c>
      <c r="N87" s="12">
        <f t="shared" si="9"/>
        <v>0.5237247405</v>
      </c>
      <c r="O87" s="13">
        <f t="shared" si="10"/>
        <v>89.7</v>
      </c>
      <c r="P87" s="14">
        <f t="shared" si="11"/>
        <v>1.7</v>
      </c>
    </row>
    <row r="88">
      <c r="A88" s="1" t="s">
        <v>102</v>
      </c>
      <c r="B88" s="7">
        <v>81.0</v>
      </c>
      <c r="C88" s="7">
        <v>53.0</v>
      </c>
      <c r="D88" s="7">
        <v>78.0</v>
      </c>
      <c r="E88" s="2">
        <v>161.0</v>
      </c>
      <c r="F88" s="8">
        <f t="shared" si="1"/>
        <v>2</v>
      </c>
      <c r="G88" s="8">
        <f t="shared" si="2"/>
        <v>-2</v>
      </c>
      <c r="H88" s="9">
        <f t="shared" si="3"/>
        <v>-2</v>
      </c>
      <c r="I88" s="9">
        <f t="shared" si="4"/>
        <v>-4</v>
      </c>
      <c r="J88" s="9">
        <f t="shared" si="5"/>
        <v>-4</v>
      </c>
      <c r="K88" s="9">
        <f t="shared" si="6"/>
        <v>4</v>
      </c>
      <c r="L88" s="10">
        <f t="shared" si="7"/>
        <v>3.846153846</v>
      </c>
      <c r="M88" s="11">
        <f t="shared" si="8"/>
        <v>0.5</v>
      </c>
      <c r="N88" s="12">
        <f t="shared" si="9"/>
        <v>0.5386867072</v>
      </c>
      <c r="O88" s="13">
        <f t="shared" si="10"/>
        <v>97.5</v>
      </c>
      <c r="P88" s="14">
        <f t="shared" si="11"/>
        <v>1.5</v>
      </c>
    </row>
    <row r="89">
      <c r="A89" s="1" t="s">
        <v>103</v>
      </c>
      <c r="B89" s="7">
        <v>80.0</v>
      </c>
      <c r="C89" s="7">
        <v>53.0</v>
      </c>
      <c r="D89" s="7">
        <v>78.0</v>
      </c>
      <c r="E89" s="2">
        <v>161.0</v>
      </c>
      <c r="F89" s="8">
        <f t="shared" si="1"/>
        <v>2</v>
      </c>
      <c r="G89" s="8">
        <f t="shared" si="2"/>
        <v>-3</v>
      </c>
      <c r="H89" s="9">
        <f t="shared" si="3"/>
        <v>-2</v>
      </c>
      <c r="I89" s="9">
        <f t="shared" si="4"/>
        <v>-4</v>
      </c>
      <c r="J89" s="9">
        <f t="shared" si="5"/>
        <v>-5</v>
      </c>
      <c r="K89" s="9">
        <f t="shared" si="6"/>
        <v>5</v>
      </c>
      <c r="L89" s="10">
        <f t="shared" si="7"/>
        <v>2.564102564</v>
      </c>
      <c r="M89" s="11">
        <f t="shared" si="8"/>
        <v>0.4905660377</v>
      </c>
      <c r="N89" s="12">
        <f t="shared" si="9"/>
        <v>0.5386867072</v>
      </c>
      <c r="O89" s="13">
        <f t="shared" si="10"/>
        <v>97.5</v>
      </c>
      <c r="P89" s="14">
        <f t="shared" si="11"/>
        <v>1.5</v>
      </c>
    </row>
    <row r="90">
      <c r="A90" s="1" t="s">
        <v>104</v>
      </c>
      <c r="B90" s="7">
        <v>75.0</v>
      </c>
      <c r="C90" s="7">
        <v>52.0</v>
      </c>
      <c r="D90" s="7">
        <v>78.0</v>
      </c>
      <c r="E90" s="2">
        <v>159.0</v>
      </c>
      <c r="F90" s="8">
        <f t="shared" si="1"/>
        <v>0</v>
      </c>
      <c r="G90" s="8">
        <f t="shared" si="2"/>
        <v>-8</v>
      </c>
      <c r="H90" s="9">
        <f t="shared" si="3"/>
        <v>-3</v>
      </c>
      <c r="I90" s="9">
        <f t="shared" si="4"/>
        <v>-4</v>
      </c>
      <c r="J90" s="9">
        <f t="shared" si="5"/>
        <v>-8</v>
      </c>
      <c r="K90" s="9">
        <f t="shared" si="6"/>
        <v>-8</v>
      </c>
      <c r="L90" s="10">
        <f t="shared" si="7"/>
        <v>-3.846153846</v>
      </c>
      <c r="M90" s="11">
        <f t="shared" si="8"/>
        <v>0.4711538462</v>
      </c>
      <c r="N90" s="12">
        <f t="shared" si="9"/>
        <v>0.5465610562</v>
      </c>
      <c r="O90" s="13">
        <f t="shared" si="10"/>
        <v>101.4</v>
      </c>
      <c r="P90" s="14">
        <f t="shared" si="11"/>
        <v>1.4</v>
      </c>
    </row>
    <row r="91">
      <c r="A91" s="1" t="s">
        <v>105</v>
      </c>
      <c r="B91" s="7">
        <v>81.0</v>
      </c>
      <c r="C91" s="7">
        <v>56.0</v>
      </c>
      <c r="D91" s="7">
        <v>81.0</v>
      </c>
      <c r="E91" s="2">
        <v>159.0</v>
      </c>
      <c r="F91" s="8">
        <f t="shared" si="1"/>
        <v>0</v>
      </c>
      <c r="G91" s="8">
        <f t="shared" si="2"/>
        <v>-2</v>
      </c>
      <c r="H91" s="9">
        <f t="shared" si="3"/>
        <v>1</v>
      </c>
      <c r="I91" s="9">
        <f t="shared" si="4"/>
        <v>-1</v>
      </c>
      <c r="J91" s="9">
        <f t="shared" si="5"/>
        <v>-2</v>
      </c>
      <c r="K91" s="9">
        <f t="shared" si="6"/>
        <v>-2</v>
      </c>
      <c r="L91" s="10">
        <f t="shared" si="7"/>
        <v>0</v>
      </c>
      <c r="M91" s="11">
        <f t="shared" si="8"/>
        <v>0.4464285714</v>
      </c>
      <c r="N91" s="12">
        <f t="shared" si="9"/>
        <v>0.6396911296</v>
      </c>
      <c r="O91" s="13">
        <f t="shared" si="10"/>
        <v>101.25</v>
      </c>
      <c r="P91" s="14">
        <f t="shared" si="11"/>
        <v>1.25</v>
      </c>
    </row>
    <row r="92">
      <c r="A92" s="1" t="s">
        <v>106</v>
      </c>
      <c r="B92" s="7">
        <v>81.0</v>
      </c>
      <c r="C92" s="7">
        <v>54.0</v>
      </c>
      <c r="D92" s="7">
        <v>77.0</v>
      </c>
      <c r="E92" s="2">
        <v>165.0</v>
      </c>
      <c r="F92" s="8">
        <f t="shared" si="1"/>
        <v>6</v>
      </c>
      <c r="G92" s="8">
        <f t="shared" si="2"/>
        <v>-2</v>
      </c>
      <c r="H92" s="9">
        <f t="shared" si="3"/>
        <v>-1</v>
      </c>
      <c r="I92" s="9">
        <f t="shared" si="4"/>
        <v>-5</v>
      </c>
      <c r="J92" s="9">
        <f t="shared" si="5"/>
        <v>-8</v>
      </c>
      <c r="K92" s="9">
        <f t="shared" si="6"/>
        <v>8</v>
      </c>
      <c r="L92" s="10">
        <f t="shared" si="7"/>
        <v>5.194805195</v>
      </c>
      <c r="M92" s="11">
        <f t="shared" si="8"/>
        <v>0.462962963</v>
      </c>
      <c r="N92" s="12">
        <f t="shared" si="9"/>
        <v>0.500451568</v>
      </c>
      <c r="O92" s="13">
        <f t="shared" si="10"/>
        <v>88.55</v>
      </c>
      <c r="P92" s="14">
        <f t="shared" si="11"/>
        <v>0.55</v>
      </c>
    </row>
    <row r="93">
      <c r="A93" s="1" t="s">
        <v>107</v>
      </c>
      <c r="B93" s="7">
        <v>80.0</v>
      </c>
      <c r="C93" s="7">
        <v>55.0</v>
      </c>
      <c r="D93" s="7">
        <v>80.0</v>
      </c>
      <c r="E93" s="2">
        <v>159.0</v>
      </c>
      <c r="F93" s="8">
        <f t="shared" si="1"/>
        <v>0</v>
      </c>
      <c r="G93" s="8">
        <f t="shared" si="2"/>
        <v>-3</v>
      </c>
      <c r="H93" s="9">
        <f t="shared" si="3"/>
        <v>0</v>
      </c>
      <c r="I93" s="9">
        <f t="shared" si="4"/>
        <v>-2</v>
      </c>
      <c r="J93" s="9">
        <f t="shared" si="5"/>
        <v>-3</v>
      </c>
      <c r="K93" s="9">
        <f t="shared" si="6"/>
        <v>-3</v>
      </c>
      <c r="L93" s="10">
        <f t="shared" si="7"/>
        <v>0</v>
      </c>
      <c r="M93" s="11">
        <f t="shared" si="8"/>
        <v>0.4545454545</v>
      </c>
      <c r="N93" s="12">
        <f t="shared" si="9"/>
        <v>0.6120824573</v>
      </c>
      <c r="O93" s="13">
        <f t="shared" si="10"/>
        <v>100</v>
      </c>
      <c r="P93" s="14">
        <f t="shared" si="11"/>
        <v>0</v>
      </c>
    </row>
    <row r="94">
      <c r="A94" s="1" t="s">
        <v>108</v>
      </c>
      <c r="B94" s="7">
        <v>76.0</v>
      </c>
      <c r="C94" s="7">
        <v>55.0</v>
      </c>
      <c r="D94" s="7">
        <v>80.0</v>
      </c>
      <c r="E94" s="2">
        <v>159.0</v>
      </c>
      <c r="F94" s="8">
        <f t="shared" si="1"/>
        <v>0</v>
      </c>
      <c r="G94" s="8">
        <f t="shared" si="2"/>
        <v>-7</v>
      </c>
      <c r="H94" s="9">
        <f t="shared" si="3"/>
        <v>0</v>
      </c>
      <c r="I94" s="9">
        <f t="shared" si="4"/>
        <v>-2</v>
      </c>
      <c r="J94" s="9">
        <f t="shared" si="5"/>
        <v>-7</v>
      </c>
      <c r="K94" s="9">
        <f t="shared" si="6"/>
        <v>-7</v>
      </c>
      <c r="L94" s="10">
        <f t="shared" si="7"/>
        <v>-5</v>
      </c>
      <c r="M94" s="11">
        <f t="shared" si="8"/>
        <v>0.4181818182</v>
      </c>
      <c r="N94" s="12">
        <f t="shared" si="9"/>
        <v>0.6120824573</v>
      </c>
      <c r="O94" s="13">
        <f t="shared" si="10"/>
        <v>100</v>
      </c>
      <c r="P94" s="14">
        <f t="shared" si="11"/>
        <v>0</v>
      </c>
    </row>
    <row r="95">
      <c r="A95" s="1" t="s">
        <v>109</v>
      </c>
      <c r="B95" s="7">
        <v>81.0</v>
      </c>
      <c r="C95" s="7">
        <v>56.0</v>
      </c>
      <c r="D95" s="7">
        <v>81.0</v>
      </c>
      <c r="E95" s="2">
        <v>158.0</v>
      </c>
      <c r="F95" s="8">
        <f t="shared" si="1"/>
        <v>-1</v>
      </c>
      <c r="G95" s="8">
        <f t="shared" si="2"/>
        <v>-2</v>
      </c>
      <c r="H95" s="9">
        <f t="shared" si="3"/>
        <v>1</v>
      </c>
      <c r="I95" s="9">
        <f t="shared" si="4"/>
        <v>-1</v>
      </c>
      <c r="J95" s="9">
        <f t="shared" si="5"/>
        <v>-3</v>
      </c>
      <c r="K95" s="9">
        <f t="shared" si="6"/>
        <v>-3</v>
      </c>
      <c r="L95" s="10">
        <f t="shared" si="7"/>
        <v>0</v>
      </c>
      <c r="M95" s="11">
        <f t="shared" si="8"/>
        <v>0.4464285714</v>
      </c>
      <c r="N95" s="12">
        <f t="shared" si="9"/>
        <v>0.6519141995</v>
      </c>
      <c r="O95" s="13">
        <f t="shared" si="10"/>
        <v>101.25</v>
      </c>
      <c r="P95" s="14">
        <f t="shared" si="11"/>
        <v>-0.75</v>
      </c>
    </row>
    <row r="96">
      <c r="A96" s="1" t="s">
        <v>110</v>
      </c>
      <c r="B96" s="7">
        <v>78.0</v>
      </c>
      <c r="C96" s="7">
        <v>54.0</v>
      </c>
      <c r="D96" s="7">
        <v>79.0</v>
      </c>
      <c r="E96" s="2">
        <v>159.0</v>
      </c>
      <c r="F96" s="8">
        <f t="shared" si="1"/>
        <v>0</v>
      </c>
      <c r="G96" s="8">
        <f t="shared" si="2"/>
        <v>-5</v>
      </c>
      <c r="H96" s="9">
        <f t="shared" si="3"/>
        <v>-1</v>
      </c>
      <c r="I96" s="9">
        <f t="shared" si="4"/>
        <v>-3</v>
      </c>
      <c r="J96" s="9">
        <f t="shared" si="5"/>
        <v>-5</v>
      </c>
      <c r="K96" s="9">
        <f t="shared" si="6"/>
        <v>-5</v>
      </c>
      <c r="L96" s="10">
        <f t="shared" si="7"/>
        <v>-1.265822785</v>
      </c>
      <c r="M96" s="11">
        <f t="shared" si="8"/>
        <v>0.4537037037</v>
      </c>
      <c r="N96" s="12">
        <f t="shared" si="9"/>
        <v>0.5852798196</v>
      </c>
      <c r="O96" s="13">
        <f t="shared" si="10"/>
        <v>98.75</v>
      </c>
      <c r="P96" s="14">
        <f t="shared" si="11"/>
        <v>-1.25</v>
      </c>
    </row>
    <row r="97" ht="15.75" customHeight="1">
      <c r="A97" s="1" t="s">
        <v>111</v>
      </c>
      <c r="B97" s="7">
        <v>85.0</v>
      </c>
      <c r="C97" s="7">
        <v>57.0</v>
      </c>
      <c r="D97" s="7">
        <v>82.0</v>
      </c>
      <c r="E97" s="2">
        <v>157.0</v>
      </c>
      <c r="F97" s="8">
        <f t="shared" si="1"/>
        <v>-2</v>
      </c>
      <c r="G97" s="8">
        <f t="shared" si="2"/>
        <v>2</v>
      </c>
      <c r="H97" s="9">
        <f t="shared" si="3"/>
        <v>2</v>
      </c>
      <c r="I97" s="9">
        <f t="shared" si="4"/>
        <v>0</v>
      </c>
      <c r="J97" s="9">
        <f t="shared" si="5"/>
        <v>4</v>
      </c>
      <c r="K97" s="9">
        <f t="shared" si="6"/>
        <v>-4</v>
      </c>
      <c r="L97" s="10">
        <f t="shared" si="7"/>
        <v>3.658536585</v>
      </c>
      <c r="M97" s="11">
        <f t="shared" si="8"/>
        <v>0.4649122807</v>
      </c>
      <c r="N97" s="12">
        <f t="shared" si="9"/>
        <v>0.6939775854</v>
      </c>
      <c r="O97" s="13">
        <f t="shared" si="10"/>
        <v>102.5</v>
      </c>
      <c r="P97" s="14">
        <f t="shared" si="11"/>
        <v>-1.5</v>
      </c>
    </row>
    <row r="98">
      <c r="A98" s="1" t="s">
        <v>112</v>
      </c>
      <c r="B98" s="7">
        <v>79.0</v>
      </c>
      <c r="C98" s="7">
        <v>52.0</v>
      </c>
      <c r="D98" s="7">
        <v>77.0</v>
      </c>
      <c r="E98" s="2">
        <v>160.0</v>
      </c>
      <c r="F98" s="8">
        <f t="shared" si="1"/>
        <v>1</v>
      </c>
      <c r="G98" s="8">
        <f t="shared" si="2"/>
        <v>-4</v>
      </c>
      <c r="H98" s="9">
        <f t="shared" si="3"/>
        <v>-3</v>
      </c>
      <c r="I98" s="9">
        <f t="shared" si="4"/>
        <v>-5</v>
      </c>
      <c r="J98" s="9">
        <f t="shared" si="5"/>
        <v>-5</v>
      </c>
      <c r="K98" s="9">
        <f t="shared" si="6"/>
        <v>5</v>
      </c>
      <c r="L98" s="10">
        <f t="shared" si="7"/>
        <v>2.597402597</v>
      </c>
      <c r="M98" s="11">
        <f t="shared" si="8"/>
        <v>0.5</v>
      </c>
      <c r="N98" s="12">
        <f t="shared" si="9"/>
        <v>0.5240939941</v>
      </c>
      <c r="O98" s="13">
        <f t="shared" si="10"/>
        <v>96.25</v>
      </c>
      <c r="P98" s="14">
        <f t="shared" si="11"/>
        <v>-1.75</v>
      </c>
    </row>
    <row r="99">
      <c r="A99" s="1" t="s">
        <v>113</v>
      </c>
      <c r="B99" s="7">
        <v>84.0</v>
      </c>
      <c r="C99" s="7">
        <v>59.0</v>
      </c>
      <c r="D99" s="7">
        <v>83.0</v>
      </c>
      <c r="E99" s="2">
        <v>158.0</v>
      </c>
      <c r="F99" s="8">
        <f t="shared" si="1"/>
        <v>-1</v>
      </c>
      <c r="G99" s="8">
        <f t="shared" si="2"/>
        <v>1</v>
      </c>
      <c r="H99" s="9">
        <f t="shared" si="3"/>
        <v>4</v>
      </c>
      <c r="I99" s="9">
        <f t="shared" si="4"/>
        <v>1</v>
      </c>
      <c r="J99" s="9">
        <f t="shared" si="5"/>
        <v>2</v>
      </c>
      <c r="K99" s="9">
        <f t="shared" si="6"/>
        <v>-2</v>
      </c>
      <c r="L99" s="10">
        <f t="shared" si="7"/>
        <v>1.204819277</v>
      </c>
      <c r="M99" s="11">
        <f t="shared" si="8"/>
        <v>0.4152542373</v>
      </c>
      <c r="N99" s="12">
        <f t="shared" si="9"/>
        <v>0.7259283748</v>
      </c>
      <c r="O99" s="13">
        <f t="shared" si="10"/>
        <v>99.6</v>
      </c>
      <c r="P99" s="14">
        <f t="shared" si="11"/>
        <v>-2.4</v>
      </c>
    </row>
    <row r="100">
      <c r="A100" s="1" t="s">
        <v>114</v>
      </c>
      <c r="B100" s="7">
        <v>74.0</v>
      </c>
      <c r="C100" s="7">
        <v>55.0</v>
      </c>
      <c r="D100" s="7">
        <v>79.0</v>
      </c>
      <c r="E100" s="2">
        <v>160.0</v>
      </c>
      <c r="F100" s="8">
        <f t="shared" si="1"/>
        <v>1</v>
      </c>
      <c r="G100" s="8">
        <f t="shared" si="2"/>
        <v>-9</v>
      </c>
      <c r="H100" s="9">
        <f t="shared" si="3"/>
        <v>0</v>
      </c>
      <c r="I100" s="9">
        <f t="shared" si="4"/>
        <v>-3</v>
      </c>
      <c r="J100" s="9">
        <f t="shared" si="5"/>
        <v>-10</v>
      </c>
      <c r="K100" s="9">
        <f t="shared" si="6"/>
        <v>10</v>
      </c>
      <c r="L100" s="10">
        <f t="shared" si="7"/>
        <v>-6.329113924</v>
      </c>
      <c r="M100" s="11">
        <f t="shared" si="8"/>
        <v>0.3909090909</v>
      </c>
      <c r="N100" s="12">
        <f t="shared" si="9"/>
        <v>0.5874277344</v>
      </c>
      <c r="O100" s="13">
        <f t="shared" si="10"/>
        <v>94.8</v>
      </c>
      <c r="P100" s="14">
        <f t="shared" si="11"/>
        <v>-3.2</v>
      </c>
    </row>
    <row r="101">
      <c r="A101" s="1" t="s">
        <v>115</v>
      </c>
      <c r="B101" s="7">
        <v>85.0</v>
      </c>
      <c r="C101" s="7">
        <v>58.0</v>
      </c>
      <c r="D101" s="7">
        <v>82.0</v>
      </c>
      <c r="E101" s="2">
        <v>158.0</v>
      </c>
      <c r="F101" s="8">
        <f t="shared" si="1"/>
        <v>-1</v>
      </c>
      <c r="G101" s="8">
        <f t="shared" si="2"/>
        <v>2</v>
      </c>
      <c r="H101" s="9">
        <f t="shared" si="3"/>
        <v>3</v>
      </c>
      <c r="I101" s="9">
        <f t="shared" si="4"/>
        <v>0</v>
      </c>
      <c r="J101" s="9">
        <f t="shared" si="5"/>
        <v>3</v>
      </c>
      <c r="K101" s="9">
        <f t="shared" si="6"/>
        <v>-3</v>
      </c>
      <c r="L101" s="10">
        <f t="shared" si="7"/>
        <v>3.658536585</v>
      </c>
      <c r="M101" s="11">
        <f t="shared" si="8"/>
        <v>0.4396551724</v>
      </c>
      <c r="N101" s="12">
        <f t="shared" si="9"/>
        <v>0.6956853312</v>
      </c>
      <c r="O101" s="13">
        <f t="shared" si="10"/>
        <v>98.4</v>
      </c>
      <c r="P101" s="14">
        <f t="shared" si="11"/>
        <v>-3.6</v>
      </c>
    </row>
    <row r="102">
      <c r="A102" s="1" t="s">
        <v>116</v>
      </c>
      <c r="B102" s="7">
        <v>83.0</v>
      </c>
      <c r="C102" s="7">
        <v>53.0</v>
      </c>
      <c r="D102" s="7">
        <v>78.0</v>
      </c>
      <c r="E102" s="2">
        <v>158.0</v>
      </c>
      <c r="F102" s="8">
        <f t="shared" si="1"/>
        <v>-1</v>
      </c>
      <c r="G102" s="8">
        <f t="shared" si="2"/>
        <v>0</v>
      </c>
      <c r="H102" s="9">
        <f t="shared" si="3"/>
        <v>-2</v>
      </c>
      <c r="I102" s="9">
        <f t="shared" si="4"/>
        <v>-4</v>
      </c>
      <c r="J102" s="9">
        <f t="shared" si="5"/>
        <v>-1</v>
      </c>
      <c r="K102" s="9">
        <f t="shared" si="6"/>
        <v>-1</v>
      </c>
      <c r="L102" s="10">
        <f t="shared" si="7"/>
        <v>6.41025641</v>
      </c>
      <c r="M102" s="11">
        <f t="shared" si="8"/>
        <v>0.5188679245</v>
      </c>
      <c r="N102" s="12">
        <f t="shared" si="9"/>
        <v>0.5699577011</v>
      </c>
      <c r="O102" s="13">
        <f t="shared" si="10"/>
        <v>97.5</v>
      </c>
      <c r="P102" s="14">
        <f t="shared" si="11"/>
        <v>-4.5</v>
      </c>
    </row>
    <row r="103">
      <c r="A103" s="1" t="s">
        <v>117</v>
      </c>
      <c r="B103" s="7">
        <v>79.0</v>
      </c>
      <c r="C103" s="7">
        <v>51.0</v>
      </c>
      <c r="D103" s="7">
        <v>77.0</v>
      </c>
      <c r="E103" s="2">
        <v>156.0</v>
      </c>
      <c r="F103" s="8">
        <f t="shared" si="1"/>
        <v>-3</v>
      </c>
      <c r="G103" s="8">
        <f t="shared" si="2"/>
        <v>-4</v>
      </c>
      <c r="H103" s="9">
        <f t="shared" si="3"/>
        <v>-4</v>
      </c>
      <c r="I103" s="9">
        <f t="shared" si="4"/>
        <v>-5</v>
      </c>
      <c r="J103" s="9">
        <f t="shared" si="5"/>
        <v>-7</v>
      </c>
      <c r="K103" s="9">
        <f t="shared" si="6"/>
        <v>-7</v>
      </c>
      <c r="L103" s="10">
        <f t="shared" si="7"/>
        <v>2.597402597</v>
      </c>
      <c r="M103" s="11">
        <f t="shared" si="8"/>
        <v>0.5294117647</v>
      </c>
      <c r="N103" s="12">
        <f t="shared" si="9"/>
        <v>0.5524031086</v>
      </c>
      <c r="O103" s="13">
        <f t="shared" si="10"/>
        <v>100.1</v>
      </c>
      <c r="P103" s="14">
        <f t="shared" si="11"/>
        <v>-5.9</v>
      </c>
    </row>
    <row r="104">
      <c r="A104" s="1" t="s">
        <v>118</v>
      </c>
      <c r="B104" s="7">
        <v>77.0</v>
      </c>
      <c r="C104" s="7">
        <v>56.0</v>
      </c>
      <c r="D104" s="7">
        <v>80.0</v>
      </c>
      <c r="E104" s="2">
        <v>158.0</v>
      </c>
      <c r="F104" s="8">
        <f t="shared" si="1"/>
        <v>-1</v>
      </c>
      <c r="G104" s="8">
        <f t="shared" si="2"/>
        <v>-6</v>
      </c>
      <c r="H104" s="9">
        <f t="shared" si="3"/>
        <v>1</v>
      </c>
      <c r="I104" s="9">
        <f t="shared" si="4"/>
        <v>-2</v>
      </c>
      <c r="J104" s="9">
        <f t="shared" si="5"/>
        <v>-7</v>
      </c>
      <c r="K104" s="9">
        <f t="shared" si="6"/>
        <v>-7</v>
      </c>
      <c r="L104" s="10">
        <f t="shared" si="7"/>
        <v>-3.75</v>
      </c>
      <c r="M104" s="11">
        <f t="shared" si="8"/>
        <v>0.4017857143</v>
      </c>
      <c r="N104" s="12">
        <f t="shared" si="9"/>
        <v>0.6377426532</v>
      </c>
      <c r="O104" s="13">
        <f t="shared" si="10"/>
        <v>96</v>
      </c>
      <c r="P104" s="14">
        <f t="shared" si="11"/>
        <v>-6</v>
      </c>
    </row>
    <row r="105">
      <c r="A105" s="1" t="s">
        <v>119</v>
      </c>
      <c r="B105" s="7">
        <v>78.0</v>
      </c>
      <c r="C105" s="7">
        <v>55.0</v>
      </c>
      <c r="D105" s="7">
        <v>80.0</v>
      </c>
      <c r="E105" s="2">
        <v>156.0</v>
      </c>
      <c r="F105" s="8">
        <f t="shared" si="1"/>
        <v>-3</v>
      </c>
      <c r="G105" s="8">
        <f t="shared" si="2"/>
        <v>-5</v>
      </c>
      <c r="H105" s="9">
        <f t="shared" si="3"/>
        <v>0</v>
      </c>
      <c r="I105" s="9">
        <f t="shared" si="4"/>
        <v>-2</v>
      </c>
      <c r="J105" s="9">
        <f t="shared" si="5"/>
        <v>-8</v>
      </c>
      <c r="K105" s="9">
        <f t="shared" si="6"/>
        <v>-8</v>
      </c>
      <c r="L105" s="10">
        <f t="shared" si="7"/>
        <v>-2.5</v>
      </c>
      <c r="M105" s="11">
        <f t="shared" si="8"/>
        <v>0.4363636364</v>
      </c>
      <c r="N105" s="12">
        <f t="shared" si="9"/>
        <v>0.6480783455</v>
      </c>
      <c r="O105" s="13">
        <f t="shared" si="10"/>
        <v>100</v>
      </c>
      <c r="P105" s="14">
        <f t="shared" si="11"/>
        <v>-6</v>
      </c>
    </row>
    <row r="106">
      <c r="A106" s="1" t="s">
        <v>120</v>
      </c>
      <c r="B106" s="7">
        <v>76.0</v>
      </c>
      <c r="C106" s="7">
        <v>55.0</v>
      </c>
      <c r="D106" s="7">
        <v>80.0</v>
      </c>
      <c r="E106" s="2">
        <v>156.0</v>
      </c>
      <c r="F106" s="8">
        <f t="shared" si="1"/>
        <v>-3</v>
      </c>
      <c r="G106" s="8">
        <f t="shared" si="2"/>
        <v>-7</v>
      </c>
      <c r="H106" s="9">
        <f t="shared" si="3"/>
        <v>0</v>
      </c>
      <c r="I106" s="9">
        <f t="shared" si="4"/>
        <v>-2</v>
      </c>
      <c r="J106" s="9">
        <f t="shared" si="5"/>
        <v>-10</v>
      </c>
      <c r="K106" s="9">
        <f t="shared" si="6"/>
        <v>-10</v>
      </c>
      <c r="L106" s="10">
        <f t="shared" si="7"/>
        <v>-5</v>
      </c>
      <c r="M106" s="11">
        <f t="shared" si="8"/>
        <v>0.4181818182</v>
      </c>
      <c r="N106" s="12">
        <f t="shared" si="9"/>
        <v>0.6480783455</v>
      </c>
      <c r="O106" s="13">
        <f t="shared" si="10"/>
        <v>100</v>
      </c>
      <c r="P106" s="14">
        <f t="shared" si="11"/>
        <v>-6</v>
      </c>
    </row>
    <row r="107">
      <c r="A107" s="1" t="s">
        <v>121</v>
      </c>
      <c r="B107" s="7">
        <v>80.0</v>
      </c>
      <c r="C107" s="7">
        <v>55.0</v>
      </c>
      <c r="D107" s="7">
        <v>80.0</v>
      </c>
      <c r="E107" s="2">
        <v>156.0</v>
      </c>
      <c r="F107" s="8">
        <f t="shared" si="1"/>
        <v>-3</v>
      </c>
      <c r="G107" s="8">
        <f t="shared" si="2"/>
        <v>-3</v>
      </c>
      <c r="H107" s="9">
        <f t="shared" si="3"/>
        <v>0</v>
      </c>
      <c r="I107" s="9">
        <f t="shared" si="4"/>
        <v>-2</v>
      </c>
      <c r="J107" s="9">
        <f t="shared" si="5"/>
        <v>-6</v>
      </c>
      <c r="K107" s="9">
        <f t="shared" si="6"/>
        <v>-6</v>
      </c>
      <c r="L107" s="10">
        <f t="shared" si="7"/>
        <v>0</v>
      </c>
      <c r="M107" s="11">
        <f t="shared" si="8"/>
        <v>0.4545454545</v>
      </c>
      <c r="N107" s="12">
        <f t="shared" si="9"/>
        <v>0.6480783455</v>
      </c>
      <c r="O107" s="13">
        <f t="shared" si="10"/>
        <v>100</v>
      </c>
      <c r="P107" s="14">
        <f t="shared" si="11"/>
        <v>-6</v>
      </c>
    </row>
    <row r="108">
      <c r="A108" s="1" t="s">
        <v>122</v>
      </c>
      <c r="B108" s="7">
        <v>77.0</v>
      </c>
      <c r="C108" s="7">
        <v>57.0</v>
      </c>
      <c r="D108" s="7">
        <v>81.0</v>
      </c>
      <c r="E108" s="2">
        <v>157.0</v>
      </c>
      <c r="F108" s="8">
        <f t="shared" si="1"/>
        <v>-2</v>
      </c>
      <c r="G108" s="8">
        <f t="shared" si="2"/>
        <v>-6</v>
      </c>
      <c r="H108" s="9">
        <f t="shared" si="3"/>
        <v>2</v>
      </c>
      <c r="I108" s="9">
        <f t="shared" si="4"/>
        <v>-1</v>
      </c>
      <c r="J108" s="9">
        <f t="shared" si="5"/>
        <v>-8</v>
      </c>
      <c r="K108" s="9">
        <f t="shared" si="6"/>
        <v>-8</v>
      </c>
      <c r="L108" s="10">
        <f t="shared" si="7"/>
        <v>-4.938271605</v>
      </c>
      <c r="M108" s="11">
        <f t="shared" si="8"/>
        <v>0.3859649123</v>
      </c>
      <c r="N108" s="12">
        <f t="shared" si="9"/>
        <v>0.6791071484</v>
      </c>
      <c r="O108" s="13">
        <f t="shared" si="10"/>
        <v>97.2</v>
      </c>
      <c r="P108" s="14">
        <f t="shared" si="11"/>
        <v>-6.8</v>
      </c>
    </row>
    <row r="109">
      <c r="A109" s="1" t="s">
        <v>123</v>
      </c>
      <c r="B109" s="7">
        <v>83.0</v>
      </c>
      <c r="C109" s="7">
        <v>57.0</v>
      </c>
      <c r="D109" s="7">
        <v>81.0</v>
      </c>
      <c r="E109" s="2">
        <v>157.0</v>
      </c>
      <c r="F109" s="8">
        <f t="shared" si="1"/>
        <v>-2</v>
      </c>
      <c r="G109" s="8">
        <f t="shared" si="2"/>
        <v>0</v>
      </c>
      <c r="H109" s="9">
        <f t="shared" si="3"/>
        <v>2</v>
      </c>
      <c r="I109" s="9">
        <f t="shared" si="4"/>
        <v>-1</v>
      </c>
      <c r="J109" s="9">
        <f t="shared" si="5"/>
        <v>-2</v>
      </c>
      <c r="K109" s="9">
        <f t="shared" si="6"/>
        <v>-2</v>
      </c>
      <c r="L109" s="10">
        <f t="shared" si="7"/>
        <v>2.469135802</v>
      </c>
      <c r="M109" s="11">
        <f t="shared" si="8"/>
        <v>0.4385964912</v>
      </c>
      <c r="N109" s="12">
        <f t="shared" si="9"/>
        <v>0.6791071484</v>
      </c>
      <c r="O109" s="13">
        <f t="shared" si="10"/>
        <v>97.2</v>
      </c>
      <c r="P109" s="14">
        <f t="shared" si="11"/>
        <v>-6.8</v>
      </c>
    </row>
    <row r="110">
      <c r="A110" s="1" t="s">
        <v>124</v>
      </c>
      <c r="B110" s="7">
        <v>80.0</v>
      </c>
      <c r="C110" s="7">
        <v>55.0</v>
      </c>
      <c r="D110" s="7">
        <v>80.0</v>
      </c>
      <c r="E110" s="2">
        <v>155.0</v>
      </c>
      <c r="F110" s="8">
        <f t="shared" si="1"/>
        <v>-4</v>
      </c>
      <c r="G110" s="8">
        <f t="shared" si="2"/>
        <v>-3</v>
      </c>
      <c r="H110" s="9">
        <f t="shared" si="3"/>
        <v>0</v>
      </c>
      <c r="I110" s="9">
        <f t="shared" si="4"/>
        <v>-2</v>
      </c>
      <c r="J110" s="9">
        <f t="shared" si="5"/>
        <v>-7</v>
      </c>
      <c r="K110" s="9">
        <f t="shared" si="6"/>
        <v>-7</v>
      </c>
      <c r="L110" s="10">
        <f t="shared" si="7"/>
        <v>0</v>
      </c>
      <c r="M110" s="11">
        <f t="shared" si="8"/>
        <v>0.4545454545</v>
      </c>
      <c r="N110" s="12">
        <f t="shared" si="9"/>
        <v>0.6607028968</v>
      </c>
      <c r="O110" s="13">
        <f t="shared" si="10"/>
        <v>100</v>
      </c>
      <c r="P110" s="14">
        <f t="shared" si="11"/>
        <v>-8</v>
      </c>
    </row>
    <row r="111">
      <c r="A111" s="1" t="s">
        <v>125</v>
      </c>
      <c r="B111" s="7">
        <v>79.0</v>
      </c>
      <c r="C111" s="7">
        <v>56.0</v>
      </c>
      <c r="D111" s="7">
        <v>80.0</v>
      </c>
      <c r="E111" s="2">
        <v>157.0</v>
      </c>
      <c r="F111" s="8">
        <f t="shared" si="1"/>
        <v>-2</v>
      </c>
      <c r="G111" s="8">
        <f t="shared" si="2"/>
        <v>-4</v>
      </c>
      <c r="H111" s="9">
        <f t="shared" si="3"/>
        <v>1</v>
      </c>
      <c r="I111" s="9">
        <f t="shared" si="4"/>
        <v>-2</v>
      </c>
      <c r="J111" s="9">
        <f t="shared" si="5"/>
        <v>-6</v>
      </c>
      <c r="K111" s="9">
        <f t="shared" si="6"/>
        <v>-6</v>
      </c>
      <c r="L111" s="10">
        <f t="shared" si="7"/>
        <v>-1.25</v>
      </c>
      <c r="M111" s="11">
        <f t="shared" si="8"/>
        <v>0.4196428571</v>
      </c>
      <c r="N111" s="12">
        <f t="shared" si="9"/>
        <v>0.6500066022</v>
      </c>
      <c r="O111" s="13">
        <f t="shared" si="10"/>
        <v>96</v>
      </c>
      <c r="P111" s="14">
        <f t="shared" si="11"/>
        <v>-8</v>
      </c>
    </row>
    <row r="112">
      <c r="A112" s="1" t="s">
        <v>126</v>
      </c>
      <c r="B112" s="7">
        <v>77.0</v>
      </c>
      <c r="C112" s="7">
        <v>55.0</v>
      </c>
      <c r="D112" s="7">
        <v>80.0</v>
      </c>
      <c r="E112" s="2">
        <v>155.0</v>
      </c>
      <c r="F112" s="8">
        <f t="shared" si="1"/>
        <v>-4</v>
      </c>
      <c r="G112" s="8">
        <f t="shared" si="2"/>
        <v>-6</v>
      </c>
      <c r="H112" s="9">
        <f t="shared" si="3"/>
        <v>0</v>
      </c>
      <c r="I112" s="9">
        <f t="shared" si="4"/>
        <v>-2</v>
      </c>
      <c r="J112" s="9">
        <f t="shared" si="5"/>
        <v>-10</v>
      </c>
      <c r="K112" s="9">
        <f t="shared" si="6"/>
        <v>-10</v>
      </c>
      <c r="L112" s="10">
        <f t="shared" si="7"/>
        <v>-3.75</v>
      </c>
      <c r="M112" s="11">
        <f t="shared" si="8"/>
        <v>0.4272727273</v>
      </c>
      <c r="N112" s="12">
        <f t="shared" si="9"/>
        <v>0.6607028968</v>
      </c>
      <c r="O112" s="13">
        <f t="shared" si="10"/>
        <v>100</v>
      </c>
      <c r="P112" s="14">
        <f t="shared" si="11"/>
        <v>-8</v>
      </c>
    </row>
    <row r="113">
      <c r="A113" s="1" t="s">
        <v>127</v>
      </c>
      <c r="B113" s="7">
        <v>85.0</v>
      </c>
      <c r="C113" s="7">
        <v>58.0</v>
      </c>
      <c r="D113" s="7">
        <v>80.0</v>
      </c>
      <c r="E113" s="2">
        <v>160.0</v>
      </c>
      <c r="F113" s="8">
        <f t="shared" si="1"/>
        <v>1</v>
      </c>
      <c r="G113" s="8">
        <f t="shared" si="2"/>
        <v>2</v>
      </c>
      <c r="H113" s="9">
        <f t="shared" si="3"/>
        <v>3</v>
      </c>
      <c r="I113" s="9">
        <f t="shared" si="4"/>
        <v>-2</v>
      </c>
      <c r="J113" s="9">
        <f t="shared" si="5"/>
        <v>-3</v>
      </c>
      <c r="K113" s="9">
        <f t="shared" si="6"/>
        <v>-3</v>
      </c>
      <c r="L113" s="10">
        <f t="shared" si="7"/>
        <v>6.25</v>
      </c>
      <c r="M113" s="11">
        <f t="shared" si="8"/>
        <v>0.4224137931</v>
      </c>
      <c r="N113" s="12">
        <f t="shared" si="9"/>
        <v>0.6416191406</v>
      </c>
      <c r="O113" s="13">
        <f t="shared" si="10"/>
        <v>88</v>
      </c>
      <c r="P113" s="14">
        <f t="shared" si="11"/>
        <v>-10</v>
      </c>
    </row>
    <row r="114">
      <c r="A114" s="1" t="s">
        <v>128</v>
      </c>
      <c r="B114" s="7">
        <v>83.0</v>
      </c>
      <c r="C114" s="7">
        <v>55.0</v>
      </c>
      <c r="D114" s="7">
        <v>79.0</v>
      </c>
      <c r="E114" s="2">
        <v>155.0</v>
      </c>
      <c r="F114" s="8">
        <f t="shared" si="1"/>
        <v>-4</v>
      </c>
      <c r="G114" s="8">
        <f t="shared" si="2"/>
        <v>0</v>
      </c>
      <c r="H114" s="9">
        <f t="shared" si="3"/>
        <v>0</v>
      </c>
      <c r="I114" s="9">
        <f t="shared" si="4"/>
        <v>-3</v>
      </c>
      <c r="J114" s="9">
        <f t="shared" si="5"/>
        <v>-4</v>
      </c>
      <c r="K114" s="9">
        <f t="shared" si="6"/>
        <v>-4</v>
      </c>
      <c r="L114" s="10">
        <f t="shared" si="7"/>
        <v>5.063291139</v>
      </c>
      <c r="M114" s="11">
        <f t="shared" si="8"/>
        <v>0.4727272727</v>
      </c>
      <c r="N114" s="12">
        <f t="shared" si="9"/>
        <v>0.6461290994</v>
      </c>
      <c r="O114" s="13">
        <f t="shared" si="10"/>
        <v>94.8</v>
      </c>
      <c r="P114" s="14">
        <f t="shared" si="11"/>
        <v>-13.2</v>
      </c>
    </row>
    <row r="115">
      <c r="A115" s="1" t="s">
        <v>129</v>
      </c>
      <c r="B115" s="7">
        <v>72.0</v>
      </c>
      <c r="C115" s="7">
        <v>50.0</v>
      </c>
      <c r="D115" s="7">
        <v>76.0</v>
      </c>
      <c r="E115" s="2">
        <v>153.0</v>
      </c>
      <c r="F115" s="8">
        <f t="shared" si="1"/>
        <v>-6</v>
      </c>
      <c r="G115" s="8">
        <f t="shared" si="2"/>
        <v>-11</v>
      </c>
      <c r="H115" s="9">
        <f t="shared" si="3"/>
        <v>-5</v>
      </c>
      <c r="I115" s="9">
        <f t="shared" si="4"/>
        <v>-6</v>
      </c>
      <c r="J115" s="9">
        <f t="shared" si="5"/>
        <v>-17</v>
      </c>
      <c r="K115" s="9">
        <f t="shared" si="6"/>
        <v>-17</v>
      </c>
      <c r="L115" s="10">
        <f t="shared" si="7"/>
        <v>-5.263157895</v>
      </c>
      <c r="M115" s="11">
        <f t="shared" si="8"/>
        <v>0.48</v>
      </c>
      <c r="N115" s="12">
        <f t="shared" si="9"/>
        <v>0.558518217</v>
      </c>
      <c r="O115" s="13">
        <f t="shared" si="10"/>
        <v>98.8</v>
      </c>
      <c r="P115" s="14">
        <f t="shared" si="11"/>
        <v>-13.2</v>
      </c>
    </row>
    <row r="116">
      <c r="A116" s="1" t="s">
        <v>130</v>
      </c>
      <c r="B116" s="7">
        <v>85.0</v>
      </c>
      <c r="C116" s="7">
        <v>52.0</v>
      </c>
      <c r="D116" s="7">
        <v>77.0</v>
      </c>
      <c r="E116" s="2">
        <v>154.0</v>
      </c>
      <c r="F116" s="8">
        <f t="shared" si="1"/>
        <v>-5</v>
      </c>
      <c r="G116" s="8">
        <f t="shared" si="2"/>
        <v>2</v>
      </c>
      <c r="H116" s="9">
        <f t="shared" si="3"/>
        <v>-3</v>
      </c>
      <c r="I116" s="9">
        <f t="shared" si="4"/>
        <v>-5</v>
      </c>
      <c r="J116" s="9">
        <f t="shared" si="5"/>
        <v>7</v>
      </c>
      <c r="K116" s="9">
        <f t="shared" si="6"/>
        <v>-7</v>
      </c>
      <c r="L116" s="10">
        <f t="shared" si="7"/>
        <v>10.38961039</v>
      </c>
      <c r="M116" s="11">
        <f t="shared" si="8"/>
        <v>0.5576923077</v>
      </c>
      <c r="N116" s="12">
        <f t="shared" si="9"/>
        <v>0.5877693945</v>
      </c>
      <c r="O116" s="13">
        <f t="shared" si="10"/>
        <v>96.25</v>
      </c>
      <c r="P116" s="14">
        <f t="shared" si="11"/>
        <v>-13.75</v>
      </c>
    </row>
    <row r="117">
      <c r="A117" s="1" t="s">
        <v>131</v>
      </c>
      <c r="B117" s="7">
        <v>86.0</v>
      </c>
      <c r="C117" s="7">
        <v>55.0</v>
      </c>
      <c r="D117" s="7">
        <v>80.0</v>
      </c>
      <c r="E117" s="2">
        <v>152.0</v>
      </c>
      <c r="F117" s="8">
        <f t="shared" si="1"/>
        <v>-7</v>
      </c>
      <c r="G117" s="8">
        <f t="shared" si="2"/>
        <v>3</v>
      </c>
      <c r="H117" s="9">
        <f t="shared" si="3"/>
        <v>0</v>
      </c>
      <c r="I117" s="9">
        <f t="shared" si="4"/>
        <v>-2</v>
      </c>
      <c r="J117" s="9">
        <f t="shared" si="5"/>
        <v>10</v>
      </c>
      <c r="K117" s="9">
        <f t="shared" si="6"/>
        <v>-10</v>
      </c>
      <c r="L117" s="10">
        <f t="shared" si="7"/>
        <v>7.5</v>
      </c>
      <c r="M117" s="11">
        <f t="shared" si="8"/>
        <v>0.5090909091</v>
      </c>
      <c r="N117" s="12">
        <f t="shared" si="9"/>
        <v>0.7006006593</v>
      </c>
      <c r="O117" s="13">
        <f t="shared" si="10"/>
        <v>100</v>
      </c>
      <c r="P117" s="14">
        <f t="shared" si="11"/>
        <v>-14</v>
      </c>
    </row>
    <row r="118">
      <c r="A118" s="1" t="s">
        <v>132</v>
      </c>
      <c r="B118" s="7">
        <v>73.0</v>
      </c>
      <c r="C118" s="7">
        <v>54.0</v>
      </c>
      <c r="D118" s="7">
        <v>78.0</v>
      </c>
      <c r="E118" s="2">
        <v>155.0</v>
      </c>
      <c r="F118" s="8">
        <f t="shared" si="1"/>
        <v>-4</v>
      </c>
      <c r="G118" s="8">
        <f t="shared" si="2"/>
        <v>-10</v>
      </c>
      <c r="H118" s="9">
        <f t="shared" si="3"/>
        <v>-1</v>
      </c>
      <c r="I118" s="9">
        <f t="shared" si="4"/>
        <v>-4</v>
      </c>
      <c r="J118" s="9">
        <f t="shared" si="5"/>
        <v>-14</v>
      </c>
      <c r="K118" s="9">
        <f t="shared" si="6"/>
        <v>-14</v>
      </c>
      <c r="L118" s="10">
        <f t="shared" si="7"/>
        <v>-6.41025641</v>
      </c>
      <c r="M118" s="11">
        <f t="shared" si="8"/>
        <v>0.3981481481</v>
      </c>
      <c r="N118" s="12">
        <f t="shared" si="9"/>
        <v>0.6176276057</v>
      </c>
      <c r="O118" s="13">
        <f t="shared" si="10"/>
        <v>93.6</v>
      </c>
      <c r="P118" s="14">
        <f t="shared" si="11"/>
        <v>-14.4</v>
      </c>
    </row>
    <row r="119">
      <c r="A119" s="1" t="s">
        <v>133</v>
      </c>
      <c r="B119" s="7">
        <v>84.0</v>
      </c>
      <c r="C119" s="7">
        <v>59.0</v>
      </c>
      <c r="D119" s="7">
        <v>81.0</v>
      </c>
      <c r="E119" s="2">
        <v>157.0</v>
      </c>
      <c r="F119" s="8">
        <f t="shared" si="1"/>
        <v>-2</v>
      </c>
      <c r="G119" s="8">
        <f t="shared" si="2"/>
        <v>1</v>
      </c>
      <c r="H119" s="9">
        <f t="shared" si="3"/>
        <v>4</v>
      </c>
      <c r="I119" s="9">
        <f t="shared" si="4"/>
        <v>-1</v>
      </c>
      <c r="J119" s="9">
        <f t="shared" si="5"/>
        <v>3</v>
      </c>
      <c r="K119" s="9">
        <f t="shared" si="6"/>
        <v>-3</v>
      </c>
      <c r="L119" s="10">
        <f t="shared" si="7"/>
        <v>3.703703704</v>
      </c>
      <c r="M119" s="11">
        <f t="shared" si="8"/>
        <v>0.3983050847</v>
      </c>
      <c r="N119" s="12">
        <f t="shared" si="9"/>
        <v>0.7090635322</v>
      </c>
      <c r="O119" s="13">
        <f t="shared" si="10"/>
        <v>89.1</v>
      </c>
      <c r="P119" s="14">
        <f t="shared" si="11"/>
        <v>-14.9</v>
      </c>
    </row>
    <row r="120">
      <c r="A120" s="1" t="s">
        <v>134</v>
      </c>
      <c r="B120" s="7">
        <v>71.0</v>
      </c>
      <c r="C120" s="7">
        <v>54.0</v>
      </c>
      <c r="D120" s="7">
        <v>76.0</v>
      </c>
      <c r="E120" s="2">
        <v>159.0</v>
      </c>
      <c r="F120" s="8">
        <f t="shared" si="1"/>
        <v>0</v>
      </c>
      <c r="G120" s="8">
        <f t="shared" si="2"/>
        <v>-12</v>
      </c>
      <c r="H120" s="9">
        <f t="shared" si="3"/>
        <v>-1</v>
      </c>
      <c r="I120" s="9">
        <f t="shared" si="4"/>
        <v>-6</v>
      </c>
      <c r="J120" s="9">
        <f t="shared" si="5"/>
        <v>-12</v>
      </c>
      <c r="K120" s="9">
        <f t="shared" si="6"/>
        <v>-12</v>
      </c>
      <c r="L120" s="10">
        <f t="shared" si="7"/>
        <v>-6.578947368</v>
      </c>
      <c r="M120" s="11">
        <f t="shared" si="8"/>
        <v>0.3611111111</v>
      </c>
      <c r="N120" s="12">
        <f t="shared" si="9"/>
        <v>0.5465610562</v>
      </c>
      <c r="O120" s="13">
        <f t="shared" si="10"/>
        <v>83.6</v>
      </c>
      <c r="P120" s="14">
        <f t="shared" si="11"/>
        <v>-16.4</v>
      </c>
    </row>
    <row r="121">
      <c r="A121" s="1" t="s">
        <v>135</v>
      </c>
      <c r="B121" s="7">
        <v>79.0</v>
      </c>
      <c r="C121" s="7">
        <v>55.0</v>
      </c>
      <c r="D121" s="7">
        <v>79.0</v>
      </c>
      <c r="E121" s="2">
        <v>153.0</v>
      </c>
      <c r="F121" s="8">
        <f t="shared" si="1"/>
        <v>-6</v>
      </c>
      <c r="G121" s="8">
        <f t="shared" si="2"/>
        <v>-4</v>
      </c>
      <c r="H121" s="9">
        <f t="shared" si="3"/>
        <v>0</v>
      </c>
      <c r="I121" s="9">
        <f t="shared" si="4"/>
        <v>-3</v>
      </c>
      <c r="J121" s="9">
        <f t="shared" si="5"/>
        <v>-10</v>
      </c>
      <c r="K121" s="9">
        <f t="shared" si="6"/>
        <v>-10</v>
      </c>
      <c r="L121" s="10">
        <f t="shared" si="7"/>
        <v>0</v>
      </c>
      <c r="M121" s="11">
        <f t="shared" si="8"/>
        <v>0.4363636364</v>
      </c>
      <c r="N121" s="12">
        <f t="shared" si="9"/>
        <v>0.6718001595</v>
      </c>
      <c r="O121" s="13">
        <f t="shared" si="10"/>
        <v>94.8</v>
      </c>
      <c r="P121" s="14">
        <f t="shared" si="11"/>
        <v>-17.2</v>
      </c>
    </row>
    <row r="122">
      <c r="A122" s="1" t="s">
        <v>136</v>
      </c>
      <c r="B122" s="7">
        <v>72.0</v>
      </c>
      <c r="C122" s="7">
        <v>54.0</v>
      </c>
      <c r="D122" s="7">
        <v>77.0</v>
      </c>
      <c r="E122" s="2">
        <v>156.0</v>
      </c>
      <c r="F122" s="8">
        <f t="shared" si="1"/>
        <v>-3</v>
      </c>
      <c r="G122" s="8">
        <f t="shared" si="2"/>
        <v>-11</v>
      </c>
      <c r="H122" s="9">
        <f t="shared" si="3"/>
        <v>-1</v>
      </c>
      <c r="I122" s="9">
        <f t="shared" si="4"/>
        <v>-5</v>
      </c>
      <c r="J122" s="9">
        <f t="shared" si="5"/>
        <v>-14</v>
      </c>
      <c r="K122" s="9">
        <f t="shared" si="6"/>
        <v>-14</v>
      </c>
      <c r="L122" s="10">
        <f t="shared" si="7"/>
        <v>-6.493506494</v>
      </c>
      <c r="M122" s="11">
        <f t="shared" si="8"/>
        <v>0.3796296296</v>
      </c>
      <c r="N122" s="12">
        <f t="shared" si="9"/>
        <v>0.5921613964</v>
      </c>
      <c r="O122" s="13">
        <f t="shared" si="10"/>
        <v>88.55</v>
      </c>
      <c r="P122" s="14">
        <f t="shared" si="11"/>
        <v>-17.45</v>
      </c>
    </row>
    <row r="123">
      <c r="A123" s="1" t="s">
        <v>137</v>
      </c>
      <c r="B123" s="7">
        <v>78.0</v>
      </c>
      <c r="C123" s="7">
        <v>53.0</v>
      </c>
      <c r="D123" s="7">
        <v>77.0</v>
      </c>
      <c r="E123" s="2">
        <v>153.0</v>
      </c>
      <c r="F123" s="8">
        <f t="shared" si="1"/>
        <v>-6</v>
      </c>
      <c r="G123" s="8">
        <f t="shared" si="2"/>
        <v>-5</v>
      </c>
      <c r="H123" s="9">
        <f t="shared" si="3"/>
        <v>-2</v>
      </c>
      <c r="I123" s="9">
        <f t="shared" si="4"/>
        <v>-5</v>
      </c>
      <c r="J123" s="9">
        <f t="shared" si="5"/>
        <v>-11</v>
      </c>
      <c r="K123" s="9">
        <f t="shared" si="6"/>
        <v>-11</v>
      </c>
      <c r="L123" s="10">
        <f t="shared" si="7"/>
        <v>1.298701299</v>
      </c>
      <c r="M123" s="11">
        <f t="shared" si="8"/>
        <v>0.4622641509</v>
      </c>
      <c r="N123" s="12">
        <f t="shared" si="9"/>
        <v>0.613416939</v>
      </c>
      <c r="O123" s="13">
        <f t="shared" si="10"/>
        <v>92.4</v>
      </c>
      <c r="P123" s="14">
        <f t="shared" si="11"/>
        <v>-19.6</v>
      </c>
    </row>
    <row r="124">
      <c r="A124" s="1" t="s">
        <v>138</v>
      </c>
      <c r="B124" s="7">
        <v>87.0</v>
      </c>
      <c r="C124" s="7">
        <v>52.0</v>
      </c>
      <c r="D124" s="7">
        <v>77.0</v>
      </c>
      <c r="E124" s="2">
        <v>145.0</v>
      </c>
      <c r="F124" s="8">
        <f t="shared" si="1"/>
        <v>-14</v>
      </c>
      <c r="G124" s="8">
        <f t="shared" si="2"/>
        <v>4</v>
      </c>
      <c r="H124" s="9">
        <f t="shared" si="3"/>
        <v>-3</v>
      </c>
      <c r="I124" s="9">
        <f t="shared" si="4"/>
        <v>-5</v>
      </c>
      <c r="J124" s="9">
        <f t="shared" si="5"/>
        <v>18</v>
      </c>
      <c r="K124" s="9">
        <f t="shared" si="6"/>
        <v>-18</v>
      </c>
      <c r="L124" s="10">
        <f t="shared" si="7"/>
        <v>12.98701299</v>
      </c>
      <c r="M124" s="11">
        <f t="shared" si="8"/>
        <v>0.5769230769</v>
      </c>
      <c r="N124" s="12">
        <f t="shared" si="9"/>
        <v>0.7041499036</v>
      </c>
      <c r="O124" s="13">
        <f t="shared" si="10"/>
        <v>96.25</v>
      </c>
      <c r="P124" s="14">
        <f t="shared" si="11"/>
        <v>-31.75</v>
      </c>
    </row>
    <row r="125">
      <c r="A125" s="1" t="s">
        <v>139</v>
      </c>
      <c r="B125" s="7">
        <v>75.0</v>
      </c>
      <c r="C125" s="7">
        <v>51.0</v>
      </c>
      <c r="D125" s="7">
        <v>76.0</v>
      </c>
      <c r="E125" s="2">
        <v>145.0</v>
      </c>
      <c r="F125" s="8">
        <f t="shared" si="1"/>
        <v>-14</v>
      </c>
      <c r="G125" s="8">
        <f t="shared" si="2"/>
        <v>-8</v>
      </c>
      <c r="H125" s="9">
        <f t="shared" si="3"/>
        <v>-4</v>
      </c>
      <c r="I125" s="9">
        <f t="shared" si="4"/>
        <v>-6</v>
      </c>
      <c r="J125" s="9">
        <f t="shared" si="5"/>
        <v>-22</v>
      </c>
      <c r="K125" s="9">
        <f t="shared" si="6"/>
        <v>-22</v>
      </c>
      <c r="L125" s="10">
        <f t="shared" si="7"/>
        <v>-1.315789474</v>
      </c>
      <c r="M125" s="11">
        <f t="shared" si="8"/>
        <v>0.4803921569</v>
      </c>
      <c r="N125" s="12">
        <f t="shared" si="9"/>
        <v>0.6719038911</v>
      </c>
      <c r="O125" s="13">
        <f t="shared" si="10"/>
        <v>95</v>
      </c>
      <c r="P125" s="14">
        <f t="shared" si="11"/>
        <v>-33</v>
      </c>
    </row>
    <row r="126">
      <c r="A126" s="1" t="s">
        <v>140</v>
      </c>
      <c r="B126" s="7">
        <v>89.0</v>
      </c>
      <c r="C126" s="7">
        <v>53.0</v>
      </c>
      <c r="D126" s="7">
        <v>77.0</v>
      </c>
      <c r="E126" s="2">
        <v>146.0</v>
      </c>
      <c r="F126" s="8">
        <f t="shared" si="1"/>
        <v>-13</v>
      </c>
      <c r="G126" s="8">
        <f t="shared" si="2"/>
        <v>6</v>
      </c>
      <c r="H126" s="9">
        <f t="shared" si="3"/>
        <v>-2</v>
      </c>
      <c r="I126" s="9">
        <f t="shared" si="4"/>
        <v>-5</v>
      </c>
      <c r="J126" s="9">
        <f t="shared" si="5"/>
        <v>19</v>
      </c>
      <c r="K126" s="9">
        <f t="shared" si="6"/>
        <v>-19</v>
      </c>
      <c r="L126" s="10">
        <f t="shared" si="7"/>
        <v>15.58441558</v>
      </c>
      <c r="M126" s="11">
        <f t="shared" si="8"/>
        <v>0.5660377358</v>
      </c>
      <c r="N126" s="12">
        <f t="shared" si="9"/>
        <v>0.7059460126</v>
      </c>
      <c r="O126" s="13">
        <f t="shared" si="10"/>
        <v>92.4</v>
      </c>
      <c r="P126" s="14">
        <f t="shared" si="11"/>
        <v>-33.6</v>
      </c>
    </row>
    <row r="127">
      <c r="A127" s="1" t="s">
        <v>141</v>
      </c>
      <c r="B127" s="7">
        <v>77.0</v>
      </c>
      <c r="C127" s="7">
        <v>54.0</v>
      </c>
      <c r="D127" s="7">
        <v>76.0</v>
      </c>
      <c r="E127" s="2">
        <v>150.0</v>
      </c>
      <c r="F127" s="8">
        <f t="shared" si="1"/>
        <v>-9</v>
      </c>
      <c r="G127" s="8">
        <f t="shared" si="2"/>
        <v>-6</v>
      </c>
      <c r="H127" s="9">
        <f t="shared" si="3"/>
        <v>-1</v>
      </c>
      <c r="I127" s="9">
        <f t="shared" si="4"/>
        <v>-6</v>
      </c>
      <c r="J127" s="9">
        <f t="shared" si="5"/>
        <v>-15</v>
      </c>
      <c r="K127" s="9">
        <f t="shared" si="6"/>
        <v>-15</v>
      </c>
      <c r="L127" s="10">
        <f t="shared" si="7"/>
        <v>1.315789474</v>
      </c>
      <c r="M127" s="11">
        <f t="shared" si="8"/>
        <v>0.4166666667</v>
      </c>
      <c r="N127" s="12">
        <f t="shared" si="9"/>
        <v>0.650962963</v>
      </c>
      <c r="O127" s="13">
        <f t="shared" si="10"/>
        <v>83.6</v>
      </c>
      <c r="P127" s="14">
        <f t="shared" si="11"/>
        <v>-34.4</v>
      </c>
    </row>
    <row r="128">
      <c r="A128" s="1" t="s">
        <v>142</v>
      </c>
      <c r="B128" s="7">
        <v>72.0</v>
      </c>
      <c r="C128" s="7">
        <v>51.0</v>
      </c>
      <c r="D128" s="7">
        <v>74.0</v>
      </c>
      <c r="E128" s="2">
        <v>146.0</v>
      </c>
      <c r="F128" s="8">
        <f t="shared" si="1"/>
        <v>-13</v>
      </c>
      <c r="G128" s="8">
        <f t="shared" si="2"/>
        <v>-11</v>
      </c>
      <c r="H128" s="9">
        <f t="shared" si="3"/>
        <v>-4</v>
      </c>
      <c r="I128" s="9">
        <f t="shared" si="4"/>
        <v>-8</v>
      </c>
      <c r="J128" s="9">
        <f t="shared" si="5"/>
        <v>-24</v>
      </c>
      <c r="K128" s="9">
        <f t="shared" si="6"/>
        <v>-24</v>
      </c>
      <c r="L128" s="10">
        <f t="shared" si="7"/>
        <v>-2.702702703</v>
      </c>
      <c r="M128" s="11">
        <f t="shared" si="8"/>
        <v>0.431372549</v>
      </c>
      <c r="N128" s="12">
        <f t="shared" si="9"/>
        <v>0.6275834347</v>
      </c>
      <c r="O128" s="13">
        <f t="shared" si="10"/>
        <v>85.1</v>
      </c>
      <c r="P128" s="14">
        <f t="shared" si="11"/>
        <v>-40.9</v>
      </c>
    </row>
    <row r="129">
      <c r="A129" s="1" t="s">
        <v>143</v>
      </c>
      <c r="B129" s="7">
        <v>74.0</v>
      </c>
      <c r="C129" s="7">
        <v>51.0</v>
      </c>
      <c r="D129" s="7">
        <v>75.0</v>
      </c>
      <c r="E129" s="2">
        <v>143.0</v>
      </c>
      <c r="F129" s="8">
        <f t="shared" si="1"/>
        <v>-16</v>
      </c>
      <c r="G129" s="8">
        <f t="shared" si="2"/>
        <v>-9</v>
      </c>
      <c r="H129" s="9">
        <f t="shared" si="3"/>
        <v>-4</v>
      </c>
      <c r="I129" s="9">
        <f t="shared" si="4"/>
        <v>-7</v>
      </c>
      <c r="J129" s="9">
        <f t="shared" si="5"/>
        <v>-25</v>
      </c>
      <c r="K129" s="9">
        <f t="shared" si="6"/>
        <v>-25</v>
      </c>
      <c r="L129" s="10">
        <f t="shared" si="7"/>
        <v>-1.333333333</v>
      </c>
      <c r="M129" s="11">
        <f t="shared" si="8"/>
        <v>0.4607843137</v>
      </c>
      <c r="N129" s="12">
        <f t="shared" si="9"/>
        <v>0.684074691</v>
      </c>
      <c r="O129" s="13">
        <f t="shared" si="10"/>
        <v>90</v>
      </c>
      <c r="P129" s="14">
        <f t="shared" si="11"/>
        <v>-42</v>
      </c>
    </row>
    <row r="130">
      <c r="A130" s="1" t="s">
        <v>144</v>
      </c>
      <c r="B130" s="7">
        <v>69.0</v>
      </c>
      <c r="C130" s="7">
        <v>50.0</v>
      </c>
      <c r="D130" s="7">
        <v>73.0</v>
      </c>
      <c r="E130" s="2">
        <v>145.0</v>
      </c>
      <c r="F130" s="8">
        <f t="shared" si="1"/>
        <v>-14</v>
      </c>
      <c r="G130" s="8">
        <f t="shared" si="2"/>
        <v>-14</v>
      </c>
      <c r="H130" s="9">
        <f t="shared" si="3"/>
        <v>-5</v>
      </c>
      <c r="I130" s="9">
        <f t="shared" si="4"/>
        <v>-9</v>
      </c>
      <c r="J130" s="9">
        <f t="shared" si="5"/>
        <v>-28</v>
      </c>
      <c r="K130" s="9">
        <f t="shared" si="6"/>
        <v>-28</v>
      </c>
      <c r="L130" s="10">
        <f t="shared" si="7"/>
        <v>-5.479452055</v>
      </c>
      <c r="M130" s="11">
        <f t="shared" si="8"/>
        <v>0.42</v>
      </c>
      <c r="N130" s="12">
        <f t="shared" si="9"/>
        <v>0.6103955062</v>
      </c>
      <c r="O130" s="13">
        <f t="shared" si="10"/>
        <v>83.95</v>
      </c>
      <c r="P130" s="14">
        <f t="shared" si="11"/>
        <v>-44.05</v>
      </c>
    </row>
    <row r="131">
      <c r="A131" s="1" t="s">
        <v>145</v>
      </c>
      <c r="B131" s="7">
        <v>77.0</v>
      </c>
      <c r="C131" s="7">
        <v>54.0</v>
      </c>
      <c r="D131" s="7">
        <v>76.0</v>
      </c>
      <c r="E131" s="2">
        <v>145.0</v>
      </c>
      <c r="F131" s="8">
        <f t="shared" si="1"/>
        <v>-14</v>
      </c>
      <c r="G131" s="8">
        <f t="shared" si="2"/>
        <v>-6</v>
      </c>
      <c r="H131" s="9">
        <f t="shared" si="3"/>
        <v>-1</v>
      </c>
      <c r="I131" s="9">
        <f t="shared" si="4"/>
        <v>-6</v>
      </c>
      <c r="J131" s="9">
        <f t="shared" si="5"/>
        <v>-20</v>
      </c>
      <c r="K131" s="9">
        <f t="shared" si="6"/>
        <v>-20</v>
      </c>
      <c r="L131" s="10">
        <f t="shared" si="7"/>
        <v>1.315789474</v>
      </c>
      <c r="M131" s="11">
        <f t="shared" si="8"/>
        <v>0.4166666667</v>
      </c>
      <c r="N131" s="12">
        <f t="shared" si="9"/>
        <v>0.7206527533</v>
      </c>
      <c r="O131" s="13">
        <f t="shared" si="10"/>
        <v>83.6</v>
      </c>
      <c r="P131" s="14">
        <f t="shared" si="11"/>
        <v>-44.4</v>
      </c>
    </row>
    <row r="132">
      <c r="A132" s="1" t="s">
        <v>146</v>
      </c>
      <c r="B132" s="7">
        <v>77.0</v>
      </c>
      <c r="C132" s="7">
        <v>53.0</v>
      </c>
      <c r="D132" s="7">
        <v>76.0</v>
      </c>
      <c r="E132" s="2">
        <v>141.0</v>
      </c>
      <c r="F132" s="8">
        <f t="shared" si="1"/>
        <v>-18</v>
      </c>
      <c r="G132" s="8">
        <f t="shared" si="2"/>
        <v>-6</v>
      </c>
      <c r="H132" s="9">
        <f t="shared" si="3"/>
        <v>-2</v>
      </c>
      <c r="I132" s="9">
        <f t="shared" si="4"/>
        <v>-6</v>
      </c>
      <c r="J132" s="9">
        <f t="shared" si="5"/>
        <v>-24</v>
      </c>
      <c r="K132" s="9">
        <f t="shared" si="6"/>
        <v>-24</v>
      </c>
      <c r="L132" s="10">
        <f t="shared" si="7"/>
        <v>1.315789474</v>
      </c>
      <c r="M132" s="11">
        <f t="shared" si="8"/>
        <v>0.4433962264</v>
      </c>
      <c r="N132" s="12">
        <f t="shared" si="9"/>
        <v>0.7657937066</v>
      </c>
      <c r="O132" s="13">
        <f t="shared" si="10"/>
        <v>87.4</v>
      </c>
      <c r="P132" s="14">
        <f t="shared" si="11"/>
        <v>-48.6</v>
      </c>
    </row>
    <row r="133">
      <c r="A133" s="1" t="s">
        <v>147</v>
      </c>
      <c r="B133" s="7">
        <v>72.0</v>
      </c>
      <c r="C133" s="7">
        <v>54.0</v>
      </c>
      <c r="D133" s="7">
        <v>75.0</v>
      </c>
      <c r="E133" s="2">
        <v>144.0</v>
      </c>
      <c r="F133" s="8">
        <f t="shared" si="1"/>
        <v>-15</v>
      </c>
      <c r="G133" s="8">
        <f t="shared" si="2"/>
        <v>-11</v>
      </c>
      <c r="H133" s="9">
        <f t="shared" si="3"/>
        <v>-1</v>
      </c>
      <c r="I133" s="9">
        <f t="shared" si="4"/>
        <v>-7</v>
      </c>
      <c r="J133" s="9">
        <f t="shared" si="5"/>
        <v>-26</v>
      </c>
      <c r="K133" s="9">
        <f t="shared" si="6"/>
        <v>-26</v>
      </c>
      <c r="L133" s="10">
        <f t="shared" si="7"/>
        <v>-4</v>
      </c>
      <c r="M133" s="11">
        <f t="shared" si="8"/>
        <v>0.3611111111</v>
      </c>
      <c r="N133" s="12">
        <f t="shared" si="9"/>
        <v>0.7189218027</v>
      </c>
      <c r="O133" s="13">
        <f t="shared" si="10"/>
        <v>78.75</v>
      </c>
      <c r="P133" s="14">
        <f t="shared" si="11"/>
        <v>-51.25</v>
      </c>
    </row>
    <row r="134">
      <c r="A134" s="1" t="s">
        <v>148</v>
      </c>
      <c r="B134" s="7">
        <v>75.0</v>
      </c>
      <c r="C134" s="7">
        <v>51.0</v>
      </c>
      <c r="D134" s="7">
        <v>73.0</v>
      </c>
      <c r="E134" s="2">
        <v>143.0</v>
      </c>
      <c r="F134" s="8">
        <f t="shared" si="1"/>
        <v>-16</v>
      </c>
      <c r="G134" s="8">
        <f t="shared" si="2"/>
        <v>-8</v>
      </c>
      <c r="H134" s="9">
        <f t="shared" si="3"/>
        <v>-4</v>
      </c>
      <c r="I134" s="9">
        <f t="shared" si="4"/>
        <v>-9</v>
      </c>
      <c r="J134" s="9">
        <f t="shared" si="5"/>
        <v>-24</v>
      </c>
      <c r="K134" s="9">
        <f t="shared" si="6"/>
        <v>-24</v>
      </c>
      <c r="L134" s="10">
        <f t="shared" si="7"/>
        <v>2.739726027</v>
      </c>
      <c r="M134" s="11">
        <f t="shared" si="8"/>
        <v>0.4509803922</v>
      </c>
      <c r="N134" s="12">
        <f t="shared" si="9"/>
        <v>0.6520140332</v>
      </c>
      <c r="O134" s="13">
        <f t="shared" si="10"/>
        <v>80.3</v>
      </c>
      <c r="P134" s="14">
        <f t="shared" si="11"/>
        <v>-51.7</v>
      </c>
    </row>
    <row r="135">
      <c r="A135" s="1" t="s">
        <v>149</v>
      </c>
      <c r="B135" s="7">
        <v>89.0</v>
      </c>
      <c r="C135" s="7">
        <v>56.0</v>
      </c>
      <c r="D135" s="7">
        <v>78.0</v>
      </c>
      <c r="E135" s="2">
        <v>140.0</v>
      </c>
      <c r="F135" s="8">
        <f t="shared" si="1"/>
        <v>-19</v>
      </c>
      <c r="G135" s="8">
        <f t="shared" si="2"/>
        <v>6</v>
      </c>
      <c r="H135" s="9">
        <f t="shared" si="3"/>
        <v>1</v>
      </c>
      <c r="I135" s="9">
        <f t="shared" si="4"/>
        <v>-4</v>
      </c>
      <c r="J135" s="9">
        <f t="shared" si="5"/>
        <v>25</v>
      </c>
      <c r="K135" s="9">
        <f t="shared" si="6"/>
        <v>-25</v>
      </c>
      <c r="L135" s="10">
        <f t="shared" si="7"/>
        <v>14.1025641</v>
      </c>
      <c r="M135" s="11">
        <f t="shared" si="8"/>
        <v>0.4910714286</v>
      </c>
      <c r="N135" s="12">
        <f t="shared" si="9"/>
        <v>0.8768600583</v>
      </c>
      <c r="O135" s="13">
        <f t="shared" si="10"/>
        <v>85.8</v>
      </c>
      <c r="P135" s="14">
        <f t="shared" si="11"/>
        <v>-52.2</v>
      </c>
    </row>
    <row r="136">
      <c r="A136" s="1" t="s">
        <v>150</v>
      </c>
      <c r="B136" s="7">
        <v>85.0</v>
      </c>
      <c r="C136" s="7">
        <v>51.0</v>
      </c>
      <c r="D136" s="7">
        <v>74.0</v>
      </c>
      <c r="E136" s="2">
        <v>139.0</v>
      </c>
      <c r="F136" s="8">
        <f t="shared" si="1"/>
        <v>-20</v>
      </c>
      <c r="G136" s="8">
        <f t="shared" si="2"/>
        <v>2</v>
      </c>
      <c r="H136" s="9">
        <f t="shared" si="3"/>
        <v>-4</v>
      </c>
      <c r="I136" s="9">
        <f t="shared" si="4"/>
        <v>-8</v>
      </c>
      <c r="J136" s="9">
        <f t="shared" si="5"/>
        <v>22</v>
      </c>
      <c r="K136" s="9">
        <f t="shared" si="6"/>
        <v>-22</v>
      </c>
      <c r="L136" s="10">
        <f t="shared" si="7"/>
        <v>14.86486486</v>
      </c>
      <c r="M136" s="11">
        <f t="shared" si="8"/>
        <v>0.5588235294</v>
      </c>
      <c r="N136" s="12">
        <f t="shared" si="9"/>
        <v>0.7272531956</v>
      </c>
      <c r="O136" s="13">
        <f t="shared" si="10"/>
        <v>85.1</v>
      </c>
      <c r="P136" s="14">
        <f t="shared" si="11"/>
        <v>-54.9</v>
      </c>
    </row>
    <row r="137">
      <c r="A137" s="1" t="s">
        <v>151</v>
      </c>
      <c r="B137" s="7">
        <v>72.0</v>
      </c>
      <c r="C137" s="7">
        <v>51.0</v>
      </c>
      <c r="D137" s="7">
        <v>72.0</v>
      </c>
      <c r="E137" s="2">
        <v>143.0</v>
      </c>
      <c r="F137" s="8">
        <f t="shared" si="1"/>
        <v>-16</v>
      </c>
      <c r="G137" s="8">
        <f t="shared" si="2"/>
        <v>-11</v>
      </c>
      <c r="H137" s="9">
        <f t="shared" si="3"/>
        <v>-4</v>
      </c>
      <c r="I137" s="9">
        <f t="shared" si="4"/>
        <v>-10</v>
      </c>
      <c r="J137" s="9">
        <f t="shared" si="5"/>
        <v>-27</v>
      </c>
      <c r="K137" s="9">
        <f t="shared" si="6"/>
        <v>-27</v>
      </c>
      <c r="L137" s="10">
        <f t="shared" si="7"/>
        <v>0</v>
      </c>
      <c r="M137" s="11">
        <f t="shared" si="8"/>
        <v>0.4117647059</v>
      </c>
      <c r="N137" s="12">
        <f t="shared" si="9"/>
        <v>0.6363663721</v>
      </c>
      <c r="O137" s="13">
        <f t="shared" si="10"/>
        <v>75.6</v>
      </c>
      <c r="P137" s="14">
        <f t="shared" si="11"/>
        <v>-56.4</v>
      </c>
    </row>
    <row r="138">
      <c r="A138" s="1" t="s">
        <v>152</v>
      </c>
      <c r="B138" s="7">
        <v>66.0</v>
      </c>
      <c r="C138" s="7">
        <v>48.0</v>
      </c>
      <c r="D138" s="7">
        <v>69.0</v>
      </c>
      <c r="E138" s="2">
        <v>144.0</v>
      </c>
      <c r="F138" s="8">
        <f t="shared" si="1"/>
        <v>-15</v>
      </c>
      <c r="G138" s="8">
        <f t="shared" si="2"/>
        <v>-17</v>
      </c>
      <c r="H138" s="9">
        <f t="shared" si="3"/>
        <v>-7</v>
      </c>
      <c r="I138" s="9">
        <f t="shared" si="4"/>
        <v>-13</v>
      </c>
      <c r="J138" s="9">
        <f t="shared" si="5"/>
        <v>-32</v>
      </c>
      <c r="K138" s="9">
        <f t="shared" si="6"/>
        <v>-32</v>
      </c>
      <c r="L138" s="10">
        <f t="shared" si="7"/>
        <v>-4.347826087</v>
      </c>
      <c r="M138" s="11">
        <f t="shared" si="8"/>
        <v>0.40625</v>
      </c>
      <c r="N138" s="12">
        <f t="shared" si="9"/>
        <v>0.5363769531</v>
      </c>
      <c r="O138" s="13">
        <f t="shared" si="10"/>
        <v>72.45</v>
      </c>
      <c r="P138" s="14">
        <f t="shared" si="11"/>
        <v>-57.55</v>
      </c>
    </row>
    <row r="139">
      <c r="A139" s="1" t="s">
        <v>153</v>
      </c>
      <c r="B139" s="7">
        <v>74.0</v>
      </c>
      <c r="C139" s="7">
        <v>51.0</v>
      </c>
      <c r="D139" s="7">
        <v>73.0</v>
      </c>
      <c r="E139" s="2">
        <v>140.0</v>
      </c>
      <c r="F139" s="8">
        <f t="shared" si="1"/>
        <v>-19</v>
      </c>
      <c r="G139" s="8">
        <f t="shared" si="2"/>
        <v>-9</v>
      </c>
      <c r="H139" s="9">
        <f t="shared" si="3"/>
        <v>-4</v>
      </c>
      <c r="I139" s="9">
        <f t="shared" si="4"/>
        <v>-9</v>
      </c>
      <c r="J139" s="9">
        <f t="shared" si="5"/>
        <v>-28</v>
      </c>
      <c r="K139" s="9">
        <f t="shared" si="6"/>
        <v>-28</v>
      </c>
      <c r="L139" s="10">
        <f t="shared" si="7"/>
        <v>1.369863014</v>
      </c>
      <c r="M139" s="11">
        <f t="shared" si="8"/>
        <v>0.4411764706</v>
      </c>
      <c r="N139" s="12">
        <f t="shared" si="9"/>
        <v>0.6948338192</v>
      </c>
      <c r="O139" s="13">
        <f t="shared" si="10"/>
        <v>80.3</v>
      </c>
      <c r="P139" s="14">
        <f t="shared" si="11"/>
        <v>-57.7</v>
      </c>
    </row>
    <row r="140">
      <c r="A140" s="1" t="s">
        <v>154</v>
      </c>
      <c r="B140" s="7">
        <v>71.0</v>
      </c>
      <c r="C140" s="7">
        <v>52.0</v>
      </c>
      <c r="D140" s="7">
        <v>73.0</v>
      </c>
      <c r="E140" s="2">
        <v>140.0</v>
      </c>
      <c r="F140" s="8">
        <f t="shared" si="1"/>
        <v>-19</v>
      </c>
      <c r="G140" s="8">
        <f t="shared" si="2"/>
        <v>-12</v>
      </c>
      <c r="H140" s="9">
        <f t="shared" si="3"/>
        <v>-3</v>
      </c>
      <c r="I140" s="9">
        <f t="shared" si="4"/>
        <v>-9</v>
      </c>
      <c r="J140" s="9">
        <f t="shared" si="5"/>
        <v>-31</v>
      </c>
      <c r="K140" s="9">
        <f t="shared" si="6"/>
        <v>-31</v>
      </c>
      <c r="L140" s="10">
        <f t="shared" si="7"/>
        <v>-2.739726027</v>
      </c>
      <c r="M140" s="11">
        <f t="shared" si="8"/>
        <v>0.3846153846</v>
      </c>
      <c r="N140" s="12">
        <f t="shared" si="9"/>
        <v>0.7117802478</v>
      </c>
      <c r="O140" s="13">
        <f t="shared" si="10"/>
        <v>76.65</v>
      </c>
      <c r="P140" s="14">
        <f t="shared" si="11"/>
        <v>-61.35</v>
      </c>
    </row>
    <row r="141">
      <c r="A141" s="1" t="s">
        <v>155</v>
      </c>
      <c r="B141" s="7">
        <v>72.0</v>
      </c>
      <c r="C141" s="7">
        <v>53.0</v>
      </c>
      <c r="D141" s="7">
        <v>73.0</v>
      </c>
      <c r="E141" s="2">
        <v>139.0</v>
      </c>
      <c r="F141" s="8">
        <f t="shared" si="1"/>
        <v>-20</v>
      </c>
      <c r="G141" s="8">
        <f t="shared" si="2"/>
        <v>-11</v>
      </c>
      <c r="H141" s="9">
        <f t="shared" si="3"/>
        <v>-2</v>
      </c>
      <c r="I141" s="9">
        <f t="shared" si="4"/>
        <v>-9</v>
      </c>
      <c r="J141" s="9">
        <f t="shared" si="5"/>
        <v>-31</v>
      </c>
      <c r="K141" s="9">
        <f t="shared" si="6"/>
        <v>-31</v>
      </c>
      <c r="L141" s="10">
        <f t="shared" si="7"/>
        <v>-1.369863014</v>
      </c>
      <c r="M141" s="11">
        <f t="shared" si="8"/>
        <v>0.3679245283</v>
      </c>
      <c r="N141" s="12">
        <f t="shared" si="9"/>
        <v>0.7448472773</v>
      </c>
      <c r="O141" s="13">
        <f t="shared" si="10"/>
        <v>73</v>
      </c>
      <c r="P141" s="14">
        <f t="shared" si="11"/>
        <v>-67</v>
      </c>
    </row>
    <row r="142">
      <c r="A142" s="1" t="s">
        <v>156</v>
      </c>
      <c r="B142" s="7">
        <v>67.0</v>
      </c>
      <c r="C142" s="7">
        <v>49.0</v>
      </c>
      <c r="D142" s="7">
        <v>68.0</v>
      </c>
      <c r="E142" s="2">
        <v>142.0</v>
      </c>
      <c r="F142" s="8">
        <f t="shared" si="1"/>
        <v>-17</v>
      </c>
      <c r="G142" s="8">
        <f t="shared" si="2"/>
        <v>-16</v>
      </c>
      <c r="H142" s="9">
        <f t="shared" si="3"/>
        <v>-6</v>
      </c>
      <c r="I142" s="9">
        <f t="shared" si="4"/>
        <v>-14</v>
      </c>
      <c r="J142" s="9">
        <f t="shared" si="5"/>
        <v>-33</v>
      </c>
      <c r="K142" s="9">
        <f t="shared" si="6"/>
        <v>-33</v>
      </c>
      <c r="L142" s="10">
        <f t="shared" si="7"/>
        <v>-1.470588235</v>
      </c>
      <c r="M142" s="11">
        <f t="shared" si="8"/>
        <v>0.3775510204</v>
      </c>
      <c r="N142" s="12">
        <f t="shared" si="9"/>
        <v>0.5593614753</v>
      </c>
      <c r="O142" s="13">
        <f t="shared" si="10"/>
        <v>64.6</v>
      </c>
      <c r="P142" s="14">
        <f t="shared" si="11"/>
        <v>-69.4</v>
      </c>
    </row>
    <row r="143">
      <c r="A143" s="1" t="s">
        <v>157</v>
      </c>
      <c r="B143" s="7">
        <v>67.0</v>
      </c>
      <c r="C143" s="7">
        <v>48.0</v>
      </c>
      <c r="D143" s="7">
        <v>70.0</v>
      </c>
      <c r="E143" s="2">
        <v>135.0</v>
      </c>
      <c r="F143" s="8">
        <f t="shared" si="1"/>
        <v>-24</v>
      </c>
      <c r="G143" s="8">
        <f t="shared" si="2"/>
        <v>-16</v>
      </c>
      <c r="H143" s="9">
        <f t="shared" si="3"/>
        <v>-7</v>
      </c>
      <c r="I143" s="9">
        <f t="shared" si="4"/>
        <v>-12</v>
      </c>
      <c r="J143" s="9">
        <f t="shared" si="5"/>
        <v>-40</v>
      </c>
      <c r="K143" s="9">
        <f t="shared" si="6"/>
        <v>-40</v>
      </c>
      <c r="L143" s="10">
        <f t="shared" si="7"/>
        <v>-4.285714286</v>
      </c>
      <c r="M143" s="11">
        <f t="shared" si="8"/>
        <v>0.4270833333</v>
      </c>
      <c r="N143" s="12">
        <f t="shared" si="9"/>
        <v>0.6677973886</v>
      </c>
      <c r="O143" s="13">
        <f t="shared" si="10"/>
        <v>77</v>
      </c>
      <c r="P143" s="14">
        <f t="shared" si="11"/>
        <v>-71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5.38"/>
    <col customWidth="1" min="3" max="3" width="53.88"/>
  </cols>
  <sheetData>
    <row r="1">
      <c r="A1" s="16" t="s">
        <v>158</v>
      </c>
      <c r="B1" s="17" t="s">
        <v>159</v>
      </c>
      <c r="C1" s="18" t="s">
        <v>160</v>
      </c>
    </row>
    <row r="2">
      <c r="A2" s="19" t="s">
        <v>161</v>
      </c>
      <c r="B2" s="20" t="s">
        <v>162</v>
      </c>
      <c r="C2" s="21" t="s">
        <v>163</v>
      </c>
    </row>
    <row r="3">
      <c r="A3" s="22" t="s">
        <v>9</v>
      </c>
      <c r="B3" s="20" t="s">
        <v>164</v>
      </c>
      <c r="C3" s="23" t="s">
        <v>165</v>
      </c>
    </row>
    <row r="4">
      <c r="A4" s="22" t="s">
        <v>10</v>
      </c>
      <c r="B4" s="20" t="s">
        <v>166</v>
      </c>
      <c r="C4" s="23" t="s">
        <v>167</v>
      </c>
    </row>
    <row r="5">
      <c r="A5" s="19" t="s">
        <v>168</v>
      </c>
      <c r="B5" s="20" t="s">
        <v>169</v>
      </c>
      <c r="C5" s="21" t="s">
        <v>170</v>
      </c>
    </row>
    <row r="6">
      <c r="A6" s="22" t="s">
        <v>12</v>
      </c>
      <c r="B6" s="20" t="s">
        <v>171</v>
      </c>
      <c r="C6" s="21" t="s">
        <v>172</v>
      </c>
    </row>
    <row r="7">
      <c r="A7" s="22" t="s">
        <v>173</v>
      </c>
      <c r="B7" s="20" t="s">
        <v>174</v>
      </c>
      <c r="C7" s="23" t="s">
        <v>175</v>
      </c>
    </row>
    <row r="8">
      <c r="A8" s="22" t="s">
        <v>13</v>
      </c>
      <c r="B8" s="20" t="s">
        <v>176</v>
      </c>
      <c r="C8" s="23" t="s">
        <v>177</v>
      </c>
    </row>
    <row r="9">
      <c r="A9" s="22" t="s">
        <v>178</v>
      </c>
      <c r="B9" s="20" t="s">
        <v>179</v>
      </c>
      <c r="C9" s="23" t="s">
        <v>180</v>
      </c>
    </row>
  </sheetData>
  <drawing r:id="rId1"/>
</worksheet>
</file>